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52D5DC84431EC9/Documentos/Unaula clases/Estadística 1/"/>
    </mc:Choice>
  </mc:AlternateContent>
  <xr:revisionPtr revIDLastSave="13" documentId="8_{9863C9E7-05CD-4DF0-A4D2-5B92691768CA}" xr6:coauthVersionLast="47" xr6:coauthVersionMax="47" xr10:uidLastSave="{BC1933B4-B8B3-40EA-A556-DB3675F98EA5}"/>
  <bookViews>
    <workbookView xWindow="-110" yWindow="-110" windowWidth="19420" windowHeight="10300" activeTab="3" xr2:uid="{C4F1C481-FEE4-4FD3-954B-B4F627803B9A}"/>
  </bookViews>
  <sheets>
    <sheet name="Taller1.1" sheetId="4" r:id="rId1"/>
    <sheet name=" Taller1.2" sheetId="5" r:id="rId2"/>
    <sheet name="Hoja3" sheetId="6" r:id="rId3"/>
    <sheet name="Taller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7" l="1"/>
  <c r="K3" i="7"/>
  <c r="Q8" i="7"/>
  <c r="Q7" i="7"/>
  <c r="P7" i="7"/>
  <c r="L6" i="7"/>
  <c r="L5" i="7"/>
  <c r="L4" i="7"/>
  <c r="L2" i="7"/>
  <c r="L3" i="7"/>
  <c r="G7" i="7"/>
  <c r="G6" i="7"/>
  <c r="G5" i="7"/>
  <c r="G4" i="7"/>
  <c r="G3" i="7"/>
  <c r="G2" i="7"/>
  <c r="K6" i="7"/>
  <c r="K5" i="7" s="1"/>
  <c r="K4" i="7" s="1"/>
  <c r="J6" i="7"/>
  <c r="J5" i="7"/>
  <c r="J4" i="7"/>
  <c r="J3" i="7"/>
  <c r="J2" i="7"/>
  <c r="H2" i="7"/>
  <c r="H3" i="7" s="1"/>
  <c r="H4" i="7" s="1"/>
  <c r="H5" i="7" s="1"/>
  <c r="H6" i="7" s="1"/>
  <c r="F7" i="7"/>
  <c r="F10" i="6"/>
  <c r="F9" i="6"/>
  <c r="F8" i="6"/>
  <c r="F7" i="6"/>
  <c r="F6" i="6"/>
  <c r="F5" i="6"/>
  <c r="F4" i="6"/>
  <c r="F3" i="6"/>
  <c r="F2" i="6"/>
  <c r="D3" i="4"/>
  <c r="D2" i="4"/>
  <c r="G3" i="4" s="1"/>
  <c r="C10" i="6"/>
  <c r="E9" i="6"/>
  <c r="E8" i="6"/>
  <c r="E7" i="6"/>
  <c r="E6" i="6"/>
  <c r="E5" i="6"/>
  <c r="E4" i="6"/>
  <c r="E3" i="6"/>
  <c r="E2" i="6"/>
  <c r="C9" i="6"/>
  <c r="C7" i="6"/>
  <c r="C6" i="6"/>
  <c r="C5" i="6"/>
  <c r="C4" i="6"/>
  <c r="C3" i="6"/>
  <c r="C2" i="6"/>
  <c r="B10" i="6"/>
  <c r="D9" i="6"/>
  <c r="D8" i="6"/>
  <c r="D7" i="6"/>
  <c r="D6" i="6"/>
  <c r="D5" i="6"/>
  <c r="D4" i="6"/>
  <c r="D3" i="6"/>
  <c r="D2" i="6"/>
  <c r="D1" i="5"/>
  <c r="D4" i="5"/>
  <c r="D5" i="4"/>
  <c r="D2" i="5"/>
  <c r="N7" i="7" l="1"/>
  <c r="O7" i="7" s="1"/>
  <c r="L7" i="7"/>
  <c r="D3" i="5"/>
  <c r="D5" i="5" s="1"/>
  <c r="G2" i="5"/>
  <c r="D4" i="4"/>
  <c r="D6" i="4" s="1"/>
  <c r="H3" i="4" s="1"/>
  <c r="I2" i="7" l="1"/>
  <c r="I3" i="7" s="1"/>
  <c r="I4" i="7" s="1"/>
  <c r="I5" i="7" s="1"/>
  <c r="I6" i="7" s="1"/>
  <c r="H2" i="5"/>
  <c r="G4" i="4"/>
  <c r="M3" i="4"/>
  <c r="G3" i="5" l="1"/>
  <c r="M2" i="5"/>
  <c r="H4" i="4"/>
  <c r="M4" i="4" s="1"/>
  <c r="H3" i="5" l="1"/>
  <c r="M3" i="5" s="1"/>
  <c r="G5" i="4"/>
  <c r="G4" i="5" l="1"/>
  <c r="H4" i="5"/>
  <c r="H5" i="4"/>
  <c r="M5" i="4" s="1"/>
  <c r="O4" i="5" l="1"/>
  <c r="H5" i="5"/>
  <c r="G5" i="5"/>
  <c r="M4" i="5"/>
  <c r="G6" i="4"/>
  <c r="M5" i="5" l="1"/>
  <c r="G6" i="5"/>
  <c r="H6" i="4"/>
  <c r="M6" i="4" s="1"/>
  <c r="H6" i="5" l="1"/>
  <c r="M6" i="5"/>
  <c r="G7" i="4"/>
  <c r="G7" i="5" l="1"/>
  <c r="H7" i="4"/>
  <c r="M7" i="4" s="1"/>
  <c r="H7" i="5" l="1"/>
  <c r="I2" i="5" s="1" a="1"/>
  <c r="M7" i="5"/>
  <c r="G8" i="4"/>
  <c r="I2" i="5" l="1"/>
  <c r="O2" i="5" s="1"/>
  <c r="I7" i="5"/>
  <c r="O7" i="5" s="1"/>
  <c r="I4" i="5"/>
  <c r="I3" i="5"/>
  <c r="O3" i="5" s="1"/>
  <c r="I8" i="5"/>
  <c r="I6" i="5"/>
  <c r="O6" i="5" s="1"/>
  <c r="I5" i="5"/>
  <c r="O5" i="5" s="1"/>
  <c r="H8" i="4"/>
  <c r="I3" i="4" s="1" a="1"/>
  <c r="O8" i="5" l="1"/>
  <c r="N7" i="5"/>
  <c r="N6" i="5" s="1"/>
  <c r="N5" i="5" s="1"/>
  <c r="N4" i="5" s="1"/>
  <c r="N3" i="5" s="1"/>
  <c r="N2" i="5" s="1"/>
  <c r="K2" i="5"/>
  <c r="K3" i="5" s="1"/>
  <c r="K4" i="5" s="1"/>
  <c r="K5" i="5" s="1"/>
  <c r="K6" i="5" s="1"/>
  <c r="K7" i="5" s="1"/>
  <c r="I9" i="5"/>
  <c r="J6" i="5" s="1"/>
  <c r="M8" i="4"/>
  <c r="I3" i="4"/>
  <c r="N8" i="4"/>
  <c r="N7" i="4" s="1"/>
  <c r="N6" i="4" s="1"/>
  <c r="N5" i="4" s="1"/>
  <c r="N4" i="4" s="1"/>
  <c r="J2" i="5" l="1"/>
  <c r="L2" i="5"/>
  <c r="J3" i="5"/>
  <c r="J7" i="5"/>
  <c r="J4" i="5"/>
  <c r="J5" i="5"/>
  <c r="N3" i="4"/>
  <c r="I10" i="4"/>
  <c r="K3" i="4"/>
  <c r="K4" i="4" s="1"/>
  <c r="K5" i="4" s="1"/>
  <c r="K6" i="4" s="1"/>
  <c r="K7" i="4" s="1"/>
  <c r="K8" i="4" s="1"/>
  <c r="J8" i="5" l="1"/>
  <c r="L3" i="5"/>
  <c r="L4" i="5" s="1"/>
  <c r="L5" i="5" s="1"/>
  <c r="L6" i="5" s="1"/>
  <c r="L7" i="5" s="1"/>
  <c r="J8" i="4"/>
  <c r="J6" i="4"/>
  <c r="J5" i="4"/>
  <c r="J4" i="4"/>
  <c r="J7" i="4"/>
  <c r="J3" i="4"/>
  <c r="J9" i="4" l="1"/>
  <c r="L3" i="4"/>
  <c r="L4" i="4" s="1"/>
  <c r="L5" i="4" s="1"/>
  <c r="L6" i="4" s="1"/>
  <c r="L7" i="4" s="1"/>
  <c r="L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<sst xmlns="http://schemas.openxmlformats.org/spreadsheetml/2006/main" count="83" uniqueCount="51">
  <si>
    <t>Minimo</t>
  </si>
  <si>
    <t>Maximo</t>
  </si>
  <si>
    <t>Amplitud</t>
  </si>
  <si>
    <t>Nro de intervalos</t>
  </si>
  <si>
    <t>Yi-1</t>
  </si>
  <si>
    <t>Yi</t>
  </si>
  <si>
    <t>TOTAL</t>
  </si>
  <si>
    <t>Rango</t>
  </si>
  <si>
    <t>ni</t>
  </si>
  <si>
    <t>fi</t>
  </si>
  <si>
    <t>Fi</t>
  </si>
  <si>
    <t>Ni</t>
  </si>
  <si>
    <t>q</t>
  </si>
  <si>
    <t>Ni+1</t>
  </si>
  <si>
    <t>0.00----0.17</t>
  </si>
  <si>
    <t>0.17----0.33</t>
  </si>
  <si>
    <t>0.33----0.49</t>
  </si>
  <si>
    <t>0.49----0.65</t>
  </si>
  <si>
    <t>0.65----0.82</t>
  </si>
  <si>
    <t>0.82----0.98</t>
  </si>
  <si>
    <t>Poligono de frecuencias</t>
  </si>
  <si>
    <t>Histograma de frecuencias absolutas acumuladas</t>
  </si>
  <si>
    <t>0.01----0.18</t>
  </si>
  <si>
    <t>0.18----0.34</t>
  </si>
  <si>
    <t>0.34----0.51</t>
  </si>
  <si>
    <t>0.51----0.68</t>
  </si>
  <si>
    <t>0.85----1.01</t>
  </si>
  <si>
    <t>0.68----0.85</t>
  </si>
  <si>
    <t>Yini</t>
  </si>
  <si>
    <t>10,8</t>
  </si>
  <si>
    <t>11,5</t>
  </si>
  <si>
    <t>11,9</t>
  </si>
  <si>
    <t>12,3</t>
  </si>
  <si>
    <t>12,5</t>
  </si>
  <si>
    <t>13,7</t>
  </si>
  <si>
    <t>14,6</t>
  </si>
  <si>
    <t>15,3</t>
  </si>
  <si>
    <t>16,4</t>
  </si>
  <si>
    <t>18,9</t>
  </si>
  <si>
    <t>19,7</t>
  </si>
  <si>
    <r>
      <t>(Yi-x)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ni /n</t>
    </r>
  </si>
  <si>
    <t xml:space="preserve">9,0 --11,2 </t>
  </si>
  <si>
    <t>11,2 -- 13,4</t>
  </si>
  <si>
    <t>13,4 -- 15,6</t>
  </si>
  <si>
    <t>15,6 -- 17,8</t>
  </si>
  <si>
    <t>17,8 -- 20</t>
  </si>
  <si>
    <t>Ni-1  Yi</t>
  </si>
  <si>
    <t>Ni  Yi-1</t>
  </si>
  <si>
    <t>intervalo modal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</si>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</sst>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2" fontId="0" fillId="0" borderId="0" xfId="0" applyNumberFormat="1"/>
    <xf numFmtId="2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1" fillId="0" borderId="0" xfId="0" applyNumberFormat="1" applyFont="1" applyBorder="1"/>
    <xf numFmtId="0" fontId="0" fillId="0" borderId="8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17" fontId="0" fillId="0" borderId="0" xfId="0" applyNumberFormat="1" applyBorder="1"/>
    <xf numFmtId="0" fontId="0" fillId="0" borderId="0" xfId="0" applyAlignment="1">
      <alignment horizontal="right"/>
    </xf>
    <xf numFmtId="0" fontId="0" fillId="0" borderId="15" xfId="0" applyFill="1" applyBorder="1"/>
    <xf numFmtId="0" fontId="0" fillId="0" borderId="16" xfId="0" applyBorder="1"/>
    <xf numFmtId="17" fontId="0" fillId="0" borderId="8" xfId="0" applyNumberFormat="1" applyBorder="1"/>
    <xf numFmtId="0" fontId="0" fillId="2" borderId="0" xfId="0" applyFill="1"/>
    <xf numFmtId="0" fontId="0" fillId="0" borderId="0" xfId="0" applyFill="1"/>
    <xf numFmtId="0" fontId="0" fillId="0" borderId="14" xfId="0" applyFill="1" applyBorder="1"/>
    <xf numFmtId="0" fontId="0" fillId="0" borderId="8" xfId="0" applyFill="1" applyBorder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008000"/>
      <color rgb="FFB0D597"/>
      <color rgb="FFFF7575"/>
      <color rgb="FFE7A3D7"/>
      <color rgb="FFD6F10F"/>
      <color rgb="FFE6B88E"/>
      <color rgb="FF32C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 de segundos que</a:t>
            </a:r>
            <a:r>
              <a:rPr lang="es-CO" baseline="0"/>
              <a:t> tarda en encender un microondas por 30 días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Taller1.1!$F$3:$F$8</c:f>
              <c:strCache>
                <c:ptCount val="6"/>
                <c:pt idx="0">
                  <c:v>0.00----0.17</c:v>
                </c:pt>
                <c:pt idx="1">
                  <c:v>0.17----0.33</c:v>
                </c:pt>
                <c:pt idx="2">
                  <c:v>0.33----0.49</c:v>
                </c:pt>
                <c:pt idx="3">
                  <c:v>0.49----0.65</c:v>
                </c:pt>
                <c:pt idx="4">
                  <c:v>0.65----0.82</c:v>
                </c:pt>
                <c:pt idx="5">
                  <c:v>0.82----0.98</c:v>
                </c:pt>
              </c:strCache>
            </c:strRef>
          </c:cat>
          <c:val>
            <c:numRef>
              <c:f>Taller1.1!$I$3:$I$8</c:f>
              <c:numCache>
                <c:formatCode>0.00</c:formatCode>
                <c:ptCount val="6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F-4723-A3E9-B09FBC45E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939408496"/>
        <c:axId val="939403504"/>
      </c:barChart>
      <c:catAx>
        <c:axId val="9394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9403504"/>
        <c:crosses val="autoZero"/>
        <c:auto val="1"/>
        <c:lblAlgn val="ctr"/>
        <c:lblOffset val="100"/>
        <c:noMultiLvlLbl val="0"/>
      </c:catAx>
      <c:valAx>
        <c:axId val="9394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940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Taller1.1!$F$3:$F$8</c:f>
              <c:strCache>
                <c:ptCount val="6"/>
                <c:pt idx="0">
                  <c:v>0.00----0.17</c:v>
                </c:pt>
                <c:pt idx="1">
                  <c:v>0.17----0.33</c:v>
                </c:pt>
                <c:pt idx="2">
                  <c:v>0.33----0.49</c:v>
                </c:pt>
                <c:pt idx="3">
                  <c:v>0.49----0.65</c:v>
                </c:pt>
                <c:pt idx="4">
                  <c:v>0.65----0.82</c:v>
                </c:pt>
                <c:pt idx="5">
                  <c:v>0.82----0.98</c:v>
                </c:pt>
              </c:strCache>
            </c:strRef>
          </c:cat>
          <c:val>
            <c:numRef>
              <c:f>Taller1.1!$C$27:$C$32</c:f>
              <c:numCache>
                <c:formatCode>0.00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0-442B-940E-DB4D577F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992443264"/>
        <c:axId val="9924328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Taller1.1!$D$27:$D$32</c:f>
              <c:numCache>
                <c:formatCode>0.00</c:formatCode>
                <c:ptCount val="6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0-442B-940E-DB4D577F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443264"/>
        <c:axId val="992432864"/>
      </c:lineChart>
      <c:catAx>
        <c:axId val="9924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2432864"/>
        <c:crosses val="autoZero"/>
        <c:auto val="1"/>
        <c:lblAlgn val="ctr"/>
        <c:lblOffset val="100"/>
        <c:noMultiLvlLbl val="0"/>
      </c:catAx>
      <c:valAx>
        <c:axId val="9924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24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Taller1.1!$F$3:$F$8</c:f>
              <c:strCache>
                <c:ptCount val="6"/>
                <c:pt idx="0">
                  <c:v>0.00----0.17</c:v>
                </c:pt>
                <c:pt idx="1">
                  <c:v>0.17----0.33</c:v>
                </c:pt>
                <c:pt idx="2">
                  <c:v>0.33----0.49</c:v>
                </c:pt>
                <c:pt idx="3">
                  <c:v>0.49----0.65</c:v>
                </c:pt>
                <c:pt idx="4">
                  <c:v>0.65----0.82</c:v>
                </c:pt>
                <c:pt idx="5">
                  <c:v>0.82----0.98</c:v>
                </c:pt>
              </c:strCache>
            </c:strRef>
          </c:cat>
          <c:val>
            <c:numRef>
              <c:f>Taller1.1!$K$3:$K$8</c:f>
              <c:numCache>
                <c:formatCode>0.00</c:formatCode>
                <c:ptCount val="6"/>
                <c:pt idx="0">
                  <c:v>6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24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7-4F5C-8007-F806ACAE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487443984"/>
        <c:axId val="208903408"/>
      </c:barChart>
      <c:catAx>
        <c:axId val="48744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903408"/>
        <c:crosses val="autoZero"/>
        <c:auto val="1"/>
        <c:lblAlgn val="ctr"/>
        <c:lblOffset val="100"/>
        <c:noMultiLvlLbl val="0"/>
      </c:catAx>
      <c:valAx>
        <c:axId val="2089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8744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Taller1.1!$F$3:$F$8</c:f>
              <c:strCache>
                <c:ptCount val="6"/>
                <c:pt idx="0">
                  <c:v>0.00----0.17</c:v>
                </c:pt>
                <c:pt idx="1">
                  <c:v>0.17----0.33</c:v>
                </c:pt>
                <c:pt idx="2">
                  <c:v>0.33----0.49</c:v>
                </c:pt>
                <c:pt idx="3">
                  <c:v>0.49----0.65</c:v>
                </c:pt>
                <c:pt idx="4">
                  <c:v>0.65----0.82</c:v>
                </c:pt>
                <c:pt idx="5">
                  <c:v>0.82----0.98</c:v>
                </c:pt>
              </c:strCache>
            </c:strRef>
          </c:cat>
          <c:val>
            <c:numRef>
              <c:f>Taller1.1!$N$3:$N$8</c:f>
              <c:numCache>
                <c:formatCode>0.00</c:formatCode>
                <c:ptCount val="6"/>
                <c:pt idx="0">
                  <c:v>28</c:v>
                </c:pt>
                <c:pt idx="1">
                  <c:v>22</c:v>
                </c:pt>
                <c:pt idx="2">
                  <c:v>17</c:v>
                </c:pt>
                <c:pt idx="3">
                  <c:v>13</c:v>
                </c:pt>
                <c:pt idx="4">
                  <c:v>10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A-47CB-AE1C-068AE1644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993879280"/>
        <c:axId val="993880112"/>
      </c:barChart>
      <c:catAx>
        <c:axId val="9938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880112"/>
        <c:crosses val="autoZero"/>
        <c:auto val="1"/>
        <c:lblAlgn val="ctr"/>
        <c:lblOffset val="100"/>
        <c:noMultiLvlLbl val="0"/>
      </c:catAx>
      <c:valAx>
        <c:axId val="99388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87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Frecuencia de los tiempos de encendido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Taller1.2'!$F$2:$F$7</c:f>
              <c:strCache>
                <c:ptCount val="6"/>
                <c:pt idx="0">
                  <c:v>0.01----0.18</c:v>
                </c:pt>
                <c:pt idx="1">
                  <c:v>0.18----0.34</c:v>
                </c:pt>
                <c:pt idx="2">
                  <c:v>0.34----0.51</c:v>
                </c:pt>
                <c:pt idx="3">
                  <c:v>0.51----0.68</c:v>
                </c:pt>
                <c:pt idx="4">
                  <c:v>0.68----0.85</c:v>
                </c:pt>
                <c:pt idx="5">
                  <c:v>0.85----1.01</c:v>
                </c:pt>
              </c:strCache>
            </c:strRef>
          </c:cat>
          <c:val>
            <c:numRef>
              <c:f>' Taller1.2'!$C$7:$C$12</c:f>
              <c:numCache>
                <c:formatCode>0.00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C-4E6E-95EB-BE430C2E1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1004835456"/>
        <c:axId val="1004835872"/>
      </c:barChart>
      <c:catAx>
        <c:axId val="10048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4835872"/>
        <c:crosses val="autoZero"/>
        <c:auto val="1"/>
        <c:lblAlgn val="ctr"/>
        <c:lblOffset val="100"/>
        <c:noMultiLvlLbl val="0"/>
      </c:catAx>
      <c:valAx>
        <c:axId val="10048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483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1" u="none" strike="noStrike" baseline="0"/>
              <a:t>Frecuencia acumulada de los tiempos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 Taller1.2'!$F$2:$F$7</c:f>
              <c:strCache>
                <c:ptCount val="6"/>
                <c:pt idx="0">
                  <c:v>0.01----0.18</c:v>
                </c:pt>
                <c:pt idx="1">
                  <c:v>0.18----0.34</c:v>
                </c:pt>
                <c:pt idx="2">
                  <c:v>0.34----0.51</c:v>
                </c:pt>
                <c:pt idx="3">
                  <c:v>0.51----0.68</c:v>
                </c:pt>
                <c:pt idx="4">
                  <c:v>0.68----0.85</c:v>
                </c:pt>
                <c:pt idx="5">
                  <c:v>0.85----1.01</c:v>
                </c:pt>
              </c:strCache>
            </c:strRef>
          </c:cat>
          <c:val>
            <c:numRef>
              <c:f>' Taller1.2'!$K$2:$K$7</c:f>
              <c:numCache>
                <c:formatCode>0.00</c:formatCode>
                <c:ptCount val="6"/>
                <c:pt idx="0">
                  <c:v>5</c:v>
                </c:pt>
                <c:pt idx="1">
                  <c:v>12</c:v>
                </c:pt>
                <c:pt idx="2">
                  <c:v>17</c:v>
                </c:pt>
                <c:pt idx="3">
                  <c:v>25</c:v>
                </c:pt>
                <c:pt idx="4">
                  <c:v>26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0-484E-B64E-3923262F7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479355856"/>
        <c:axId val="479356272"/>
      </c:barChart>
      <c:catAx>
        <c:axId val="4793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9356272"/>
        <c:crosses val="autoZero"/>
        <c:auto val="1"/>
        <c:lblAlgn val="ctr"/>
        <c:lblOffset val="100"/>
        <c:noMultiLvlLbl val="0"/>
      </c:catAx>
      <c:valAx>
        <c:axId val="4793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935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Distribución de los tiempos de encendido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 Taller1.2'!$F$2:$F$7</c:f>
              <c:strCache>
                <c:ptCount val="6"/>
                <c:pt idx="0">
                  <c:v>0.01----0.18</c:v>
                </c:pt>
                <c:pt idx="1">
                  <c:v>0.18----0.34</c:v>
                </c:pt>
                <c:pt idx="2">
                  <c:v>0.34----0.51</c:v>
                </c:pt>
                <c:pt idx="3">
                  <c:v>0.51----0.68</c:v>
                </c:pt>
                <c:pt idx="4">
                  <c:v>0.68----0.85</c:v>
                </c:pt>
                <c:pt idx="5">
                  <c:v>0.85----1.01</c:v>
                </c:pt>
              </c:strCache>
            </c:strRef>
          </c:cat>
          <c:val>
            <c:numRef>
              <c:f>' Taller1.2'!$C$7:$C$12</c:f>
              <c:numCache>
                <c:formatCode>0.00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6-478B-9158-F78A5914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948719424"/>
        <c:axId val="94871984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 Taller1.2'!$D$7:$D$12</c:f>
              <c:numCache>
                <c:formatCode>0.00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8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6-478B-9158-F78A5914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719424"/>
        <c:axId val="948719840"/>
      </c:lineChart>
      <c:catAx>
        <c:axId val="9487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8719840"/>
        <c:crosses val="autoZero"/>
        <c:auto val="1"/>
        <c:lblAlgn val="ctr"/>
        <c:lblOffset val="100"/>
        <c:noMultiLvlLbl val="0"/>
      </c:catAx>
      <c:valAx>
        <c:axId val="9487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871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Frecuencia acumulada descendente</a:t>
            </a:r>
            <a:endParaRPr lang="es-CO"/>
          </a:p>
        </c:rich>
      </c:tx>
      <c:layout>
        <c:manualLayout>
          <c:xMode val="edge"/>
          <c:yMode val="edge"/>
          <c:x val="0.106700135733601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 Taller1.2'!$F$2:$F$7</c:f>
              <c:strCache>
                <c:ptCount val="6"/>
                <c:pt idx="0">
                  <c:v>0.01----0.18</c:v>
                </c:pt>
                <c:pt idx="1">
                  <c:v>0.18----0.34</c:v>
                </c:pt>
                <c:pt idx="2">
                  <c:v>0.34----0.51</c:v>
                </c:pt>
                <c:pt idx="3">
                  <c:v>0.51----0.68</c:v>
                </c:pt>
                <c:pt idx="4">
                  <c:v>0.68----0.85</c:v>
                </c:pt>
                <c:pt idx="5">
                  <c:v>0.85----1.01</c:v>
                </c:pt>
              </c:strCache>
            </c:strRef>
          </c:cat>
          <c:val>
            <c:numRef>
              <c:f>' Taller1.2'!$N$2:$N$7</c:f>
              <c:numCache>
                <c:formatCode>0.00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18</c:v>
                </c:pt>
                <c:pt idx="3">
                  <c:v>13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1-4848-AEF5-B0D422FE6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949482848"/>
        <c:axId val="949483264"/>
      </c:barChart>
      <c:catAx>
        <c:axId val="9494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9483264"/>
        <c:crosses val="autoZero"/>
        <c:auto val="1"/>
        <c:lblAlgn val="ctr"/>
        <c:lblOffset val="100"/>
        <c:noMultiLvlLbl val="0"/>
      </c:catAx>
      <c:valAx>
        <c:axId val="94948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948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Hospitales vs. # 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2CE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BA1-4901-BA7C-242146DD3320}"/>
              </c:ext>
            </c:extLst>
          </c:dPt>
          <c:dPt>
            <c:idx val="1"/>
            <c:bubble3D val="0"/>
            <c:spPr>
              <a:solidFill>
                <a:srgbClr val="E6B8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A1-4901-BA7C-242146DD33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F-4799-A128-09B297EDD436}"/>
              </c:ext>
            </c:extLst>
          </c:dPt>
          <c:dPt>
            <c:idx val="3"/>
            <c:bubble3D val="0"/>
            <c:spPr>
              <a:solidFill>
                <a:srgbClr val="D6F1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BA1-4901-BA7C-242146DD3320}"/>
              </c:ext>
            </c:extLst>
          </c:dPt>
          <c:dPt>
            <c:idx val="4"/>
            <c:bubble3D val="0"/>
            <c:spPr>
              <a:solidFill>
                <a:srgbClr val="E7A3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A1-4901-BA7C-242146DD3320}"/>
              </c:ext>
            </c:extLst>
          </c:dPt>
          <c:dPt>
            <c:idx val="5"/>
            <c:bubble3D val="0"/>
            <c:spPr>
              <a:solidFill>
                <a:srgbClr val="B0D59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A1-4901-BA7C-242146DD3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1F-4799-A128-09B297EDD436}"/>
              </c:ext>
            </c:extLst>
          </c:dPt>
          <c:dPt>
            <c:idx val="7"/>
            <c:bubble3D val="0"/>
            <c:spPr>
              <a:solidFill>
                <a:srgbClr val="FF75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BA1-4901-BA7C-242146DD3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Hoja3!$C$2:$C$9</c:f>
              <c:numCache>
                <c:formatCode>0.00</c:formatCode>
                <c:ptCount val="8"/>
                <c:pt idx="0">
                  <c:v>0.12</c:v>
                </c:pt>
                <c:pt idx="1">
                  <c:v>0.08</c:v>
                </c:pt>
                <c:pt idx="2">
                  <c:v>0.2</c:v>
                </c:pt>
                <c:pt idx="3">
                  <c:v>0.12</c:v>
                </c:pt>
                <c:pt idx="4">
                  <c:v>0.2</c:v>
                </c:pt>
                <c:pt idx="5">
                  <c:v>0.16</c:v>
                </c:pt>
                <c:pt idx="6">
                  <c:v>0</c:v>
                </c:pt>
                <c:pt idx="7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1-4901-BA7C-242146DD33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Hospitales vs. Accidentes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Hoja3!$B$2:$B$9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5-42EA-9E58-5CB08418B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303520"/>
        <c:axId val="991304352"/>
      </c:barChart>
      <c:catAx>
        <c:axId val="991303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1304352"/>
        <c:crosses val="autoZero"/>
        <c:auto val="1"/>
        <c:lblAlgn val="ctr"/>
        <c:lblOffset val="100"/>
        <c:noMultiLvlLbl val="0"/>
      </c:catAx>
      <c:valAx>
        <c:axId val="99130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130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baseline="0">
                <a:effectLst/>
              </a:rPr>
              <a:t>Hospitales vs. Accidentes</a:t>
            </a:r>
            <a:endParaRPr lang="es-C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Hoja3!$D$2:$D$9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13</c:v>
                </c:pt>
                <c:pt idx="4">
                  <c:v>18</c:v>
                </c:pt>
                <c:pt idx="5">
                  <c:v>22</c:v>
                </c:pt>
                <c:pt idx="6">
                  <c:v>22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1-44D9-BA4B-CD7AD151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030816"/>
        <c:axId val="1113031232"/>
      </c:barChart>
      <c:catAx>
        <c:axId val="111303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3031232"/>
        <c:crosses val="autoZero"/>
        <c:auto val="1"/>
        <c:lblAlgn val="ctr"/>
        <c:lblOffset val="100"/>
        <c:noMultiLvlLbl val="0"/>
      </c:catAx>
      <c:valAx>
        <c:axId val="11130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30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Taller2!$C$2:$C$6</c:f>
              <c:strCache>
                <c:ptCount val="5"/>
                <c:pt idx="0">
                  <c:v>9,0 --11,2 </c:v>
                </c:pt>
                <c:pt idx="1">
                  <c:v>11,2 -- 13,4</c:v>
                </c:pt>
                <c:pt idx="2">
                  <c:v>13,4 -- 15,6</c:v>
                </c:pt>
                <c:pt idx="3">
                  <c:v>15,6 -- 17,8</c:v>
                </c:pt>
                <c:pt idx="4">
                  <c:v>17,8 -- 20</c:v>
                </c:pt>
              </c:strCache>
            </c:strRef>
          </c:cat>
          <c:val>
            <c:numRef>
              <c:f>Taller2!$C$10:$C$14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FBA-9426-58B2829F2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1407686223"/>
        <c:axId val="1407673327"/>
      </c:barChart>
      <c:catAx>
        <c:axId val="140768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7673327"/>
        <c:crosses val="autoZero"/>
        <c:auto val="1"/>
        <c:lblAlgn val="ctr"/>
        <c:lblOffset val="100"/>
        <c:noMultiLvlLbl val="0"/>
      </c:catAx>
      <c:valAx>
        <c:axId val="140767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768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Taller2!$C$2:$C$6</c:f>
              <c:strCache>
                <c:ptCount val="5"/>
                <c:pt idx="0">
                  <c:v>9,0 --11,2 </c:v>
                </c:pt>
                <c:pt idx="1">
                  <c:v>11,2 -- 13,4</c:v>
                </c:pt>
                <c:pt idx="2">
                  <c:v>13,4 -- 15,6</c:v>
                </c:pt>
                <c:pt idx="3">
                  <c:v>15,6 -- 17,8</c:v>
                </c:pt>
                <c:pt idx="4">
                  <c:v>17,8 -- 20</c:v>
                </c:pt>
              </c:strCache>
            </c:strRef>
          </c:cat>
          <c:val>
            <c:numRef>
              <c:f>Taller2!$K$2:$K$6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12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E-46EC-B995-9768F899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1453451071"/>
        <c:axId val="1453453151"/>
      </c:barChart>
      <c:catAx>
        <c:axId val="14534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3453151"/>
        <c:crosses val="autoZero"/>
        <c:auto val="1"/>
        <c:lblAlgn val="ctr"/>
        <c:lblOffset val="100"/>
        <c:noMultiLvlLbl val="0"/>
      </c:catAx>
      <c:valAx>
        <c:axId val="14534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345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Ojiva ascendente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Taller2!$C$2:$C$6</c:f>
              <c:strCache>
                <c:ptCount val="5"/>
                <c:pt idx="0">
                  <c:v>9,0 --11,2 </c:v>
                </c:pt>
                <c:pt idx="1">
                  <c:v>11,2 -- 13,4</c:v>
                </c:pt>
                <c:pt idx="2">
                  <c:v>13,4 -- 15,6</c:v>
                </c:pt>
                <c:pt idx="3">
                  <c:v>15,6 -- 17,8</c:v>
                </c:pt>
                <c:pt idx="4">
                  <c:v>17,8 -- 20</c:v>
                </c:pt>
              </c:strCache>
            </c:strRef>
          </c:cat>
          <c:val>
            <c:numRef>
              <c:f>Taller2!$H$2:$H$6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13</c:v>
                </c:pt>
                <c:pt idx="3">
                  <c:v>15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8-453E-9611-FC8454F72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4"/>
        <c:axId val="1453347103"/>
        <c:axId val="1453347519"/>
      </c:barChart>
      <c:catAx>
        <c:axId val="145334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3347519"/>
        <c:crosses val="autoZero"/>
        <c:auto val="1"/>
        <c:lblAlgn val="ctr"/>
        <c:lblOffset val="100"/>
        <c:noMultiLvlLbl val="0"/>
      </c:catAx>
      <c:valAx>
        <c:axId val="145334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334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Taller2!$C$2:$C$6</c:f>
              <c:strCache>
                <c:ptCount val="5"/>
                <c:pt idx="0">
                  <c:v>9,0 --11,2 </c:v>
                </c:pt>
                <c:pt idx="1">
                  <c:v>11,2 -- 13,4</c:v>
                </c:pt>
                <c:pt idx="2">
                  <c:v>13,4 -- 15,6</c:v>
                </c:pt>
                <c:pt idx="3">
                  <c:v>15,6 -- 17,8</c:v>
                </c:pt>
                <c:pt idx="4">
                  <c:v>17,8 -- 20</c:v>
                </c:pt>
              </c:strCache>
            </c:strRef>
          </c:cat>
          <c:val>
            <c:numRef>
              <c:f>Taller2!$B$10:$B$14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F-4779-B152-51B247A5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350119520"/>
        <c:axId val="35011660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Taller2!$C$10:$C$14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F-4779-B152-51B247A5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119520"/>
        <c:axId val="350116608"/>
      </c:lineChart>
      <c:catAx>
        <c:axId val="3501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0116608"/>
        <c:crosses val="autoZero"/>
        <c:auto val="1"/>
        <c:lblAlgn val="ctr"/>
        <c:lblOffset val="100"/>
        <c:noMultiLvlLbl val="0"/>
      </c:catAx>
      <c:valAx>
        <c:axId val="3501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01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10</xdr:row>
      <xdr:rowOff>158750</xdr:rowOff>
    </xdr:from>
    <xdr:to>
      <xdr:col>6</xdr:col>
      <xdr:colOff>25400</xdr:colOff>
      <xdr:row>25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5D5198-98F9-446E-AA7A-DE7C81338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570441</xdr:colOff>
      <xdr:row>11</xdr:row>
      <xdr:rowOff>21167</xdr:rowOff>
    </xdr:from>
    <xdr:to>
      <xdr:col>21</xdr:col>
      <xdr:colOff>574675</xdr:colOff>
      <xdr:row>26</xdr:row>
      <xdr:rowOff>2117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31DAE6-C4A9-4024-A493-F5382C30D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739775</xdr:colOff>
      <xdr:row>11</xdr:row>
      <xdr:rowOff>44450</xdr:rowOff>
    </xdr:from>
    <xdr:to>
      <xdr:col>13</xdr:col>
      <xdr:colOff>739775</xdr:colOff>
      <xdr:row>26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2A5CE9-11D0-436B-BA76-D37BD6DC9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285750</xdr:colOff>
      <xdr:row>14</xdr:row>
      <xdr:rowOff>95250</xdr:rowOff>
    </xdr:from>
    <xdr:to>
      <xdr:col>13</xdr:col>
      <xdr:colOff>571500</xdr:colOff>
      <xdr:row>22</xdr:row>
      <xdr:rowOff>152400</xdr:rowOff>
    </xdr:to>
    <xdr:sp macro="" textlink="">
      <xdr:nvSpPr>
        <xdr:cNvPr id="5" name="Forma libre: forma 4">
          <a:extLst>
            <a:ext uri="{FF2B5EF4-FFF2-40B4-BE49-F238E27FC236}">
              <a16:creationId xmlns:a16="http://schemas.microsoft.com/office/drawing/2014/main" id="{D04B19B4-137A-4F0E-8A89-8666C6A8C0F4}"/>
            </a:ext>
          </a:extLst>
        </xdr:cNvPr>
        <xdr:cNvSpPr/>
      </xdr:nvSpPr>
      <xdr:spPr>
        <a:xfrm>
          <a:off x="7823200" y="2673350"/>
          <a:ext cx="3333750" cy="1530350"/>
        </a:xfrm>
        <a:custGeom>
          <a:avLst/>
          <a:gdLst>
            <a:gd name="connsiteX0" fmla="*/ 0 w 3333750"/>
            <a:gd name="connsiteY0" fmla="*/ 1530350 h 1530350"/>
            <a:gd name="connsiteX1" fmla="*/ 660400 w 3333750"/>
            <a:gd name="connsiteY1" fmla="*/ 1212850 h 1530350"/>
            <a:gd name="connsiteX2" fmla="*/ 1339850 w 3333750"/>
            <a:gd name="connsiteY2" fmla="*/ 1016000 h 1530350"/>
            <a:gd name="connsiteX3" fmla="*/ 2000250 w 3333750"/>
            <a:gd name="connsiteY3" fmla="*/ 609600 h 1530350"/>
            <a:gd name="connsiteX4" fmla="*/ 2673350 w 3333750"/>
            <a:gd name="connsiteY4" fmla="*/ 279400 h 1530350"/>
            <a:gd name="connsiteX5" fmla="*/ 3333750 w 3333750"/>
            <a:gd name="connsiteY5" fmla="*/ 0 h 15303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333750" h="1530350">
              <a:moveTo>
                <a:pt x="0" y="1530350"/>
              </a:moveTo>
              <a:cubicBezTo>
                <a:pt x="218546" y="1414462"/>
                <a:pt x="437092" y="1298575"/>
                <a:pt x="660400" y="1212850"/>
              </a:cubicBezTo>
              <a:cubicBezTo>
                <a:pt x="883708" y="1127125"/>
                <a:pt x="1116542" y="1116542"/>
                <a:pt x="1339850" y="1016000"/>
              </a:cubicBezTo>
              <a:cubicBezTo>
                <a:pt x="1563158" y="915458"/>
                <a:pt x="1778000" y="732367"/>
                <a:pt x="2000250" y="609600"/>
              </a:cubicBezTo>
              <a:cubicBezTo>
                <a:pt x="2222500" y="486833"/>
                <a:pt x="2451100" y="381000"/>
                <a:pt x="2673350" y="279400"/>
              </a:cubicBezTo>
              <a:cubicBezTo>
                <a:pt x="2895600" y="177800"/>
                <a:pt x="3092450" y="86783"/>
                <a:pt x="3333750" y="0"/>
              </a:cubicBezTo>
            </a:path>
          </a:pathLst>
        </a:cu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47625</xdr:colOff>
      <xdr:row>26</xdr:row>
      <xdr:rowOff>44450</xdr:rowOff>
    </xdr:from>
    <xdr:to>
      <xdr:col>19</xdr:col>
      <xdr:colOff>47625</xdr:colOff>
      <xdr:row>41</xdr:row>
      <xdr:rowOff>25400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4A87D73-C19C-4BF7-A928-3BF86F4F4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495300</xdr:colOff>
      <xdr:row>29</xdr:row>
      <xdr:rowOff>82550</xdr:rowOff>
    </xdr:from>
    <xdr:to>
      <xdr:col>18</xdr:col>
      <xdr:colOff>25400</xdr:colOff>
      <xdr:row>38</xdr:row>
      <xdr:rowOff>25400</xdr:rowOff>
    </xdr:to>
    <xdr:sp macro="" textlink="">
      <xdr:nvSpPr>
        <xdr:cNvPr id="8" name="Forma libre: forma 7">
          <a:extLst>
            <a:ext uri="{FF2B5EF4-FFF2-40B4-BE49-F238E27FC236}">
              <a16:creationId xmlns:a16="http://schemas.microsoft.com/office/drawing/2014/main" id="{1698748F-8BA6-474E-9566-C12A24C8C899}"/>
            </a:ext>
          </a:extLst>
        </xdr:cNvPr>
        <xdr:cNvSpPr/>
      </xdr:nvSpPr>
      <xdr:spPr>
        <a:xfrm>
          <a:off x="11080750" y="5422900"/>
          <a:ext cx="3340100" cy="1600200"/>
        </a:xfrm>
        <a:custGeom>
          <a:avLst/>
          <a:gdLst>
            <a:gd name="connsiteX0" fmla="*/ 0 w 3340100"/>
            <a:gd name="connsiteY0" fmla="*/ 0 h 1600200"/>
            <a:gd name="connsiteX1" fmla="*/ 679450 w 3340100"/>
            <a:gd name="connsiteY1" fmla="*/ 342900 h 1600200"/>
            <a:gd name="connsiteX2" fmla="*/ 1352550 w 3340100"/>
            <a:gd name="connsiteY2" fmla="*/ 679450 h 1600200"/>
            <a:gd name="connsiteX3" fmla="*/ 2012950 w 3340100"/>
            <a:gd name="connsiteY3" fmla="*/ 869950 h 1600200"/>
            <a:gd name="connsiteX4" fmla="*/ 2667000 w 3340100"/>
            <a:gd name="connsiteY4" fmla="*/ 1263650 h 1600200"/>
            <a:gd name="connsiteX5" fmla="*/ 3340100 w 3340100"/>
            <a:gd name="connsiteY5" fmla="*/ 1600200 h 16002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340100" h="1600200">
              <a:moveTo>
                <a:pt x="0" y="0"/>
              </a:moveTo>
              <a:lnTo>
                <a:pt x="679450" y="342900"/>
              </a:lnTo>
              <a:cubicBezTo>
                <a:pt x="904875" y="456142"/>
                <a:pt x="1130300" y="591608"/>
                <a:pt x="1352550" y="679450"/>
              </a:cubicBezTo>
              <a:cubicBezTo>
                <a:pt x="1574800" y="767292"/>
                <a:pt x="1793875" y="772583"/>
                <a:pt x="2012950" y="869950"/>
              </a:cubicBezTo>
              <a:cubicBezTo>
                <a:pt x="2232025" y="967317"/>
                <a:pt x="2445808" y="1141942"/>
                <a:pt x="2667000" y="1263650"/>
              </a:cubicBezTo>
              <a:cubicBezTo>
                <a:pt x="2888192" y="1385358"/>
                <a:pt x="3340100" y="1600200"/>
                <a:pt x="3340100" y="16002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15523</xdr:colOff>
      <xdr:row>9</xdr:row>
      <xdr:rowOff>3881</xdr:rowOff>
    </xdr:from>
    <xdr:to>
      <xdr:col>8</xdr:col>
      <xdr:colOff>661458</xdr:colOff>
      <xdr:row>20</xdr:row>
      <xdr:rowOff>70555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4BFE5B-58AE-45A3-B29E-0A26DFEAE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310568</xdr:colOff>
      <xdr:row>22</xdr:row>
      <xdr:rowOff>54951</xdr:rowOff>
    </xdr:from>
    <xdr:to>
      <xdr:col>7</xdr:col>
      <xdr:colOff>116010</xdr:colOff>
      <xdr:row>36</xdr:row>
      <xdr:rowOff>11767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AA45D4-74DB-4103-95B0-6ADDDAC56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316163</xdr:colOff>
      <xdr:row>22</xdr:row>
      <xdr:rowOff>77679</xdr:rowOff>
    </xdr:from>
    <xdr:to>
      <xdr:col>11</xdr:col>
      <xdr:colOff>748393</xdr:colOff>
      <xdr:row>36</xdr:row>
      <xdr:rowOff>22678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50918C0-8109-49DB-A872-AAD92599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1948</xdr:colOff>
      <xdr:row>9</xdr:row>
      <xdr:rowOff>16529</xdr:rowOff>
    </xdr:from>
    <xdr:to>
      <xdr:col>13</xdr:col>
      <xdr:colOff>624921</xdr:colOff>
      <xdr:row>21</xdr:row>
      <xdr:rowOff>61736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9D019D7-3F45-4BB2-A4FE-ED0ED275A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701776</xdr:colOff>
      <xdr:row>0</xdr:row>
      <xdr:rowOff>44097</xdr:rowOff>
    </xdr:from>
    <xdr:to>
      <xdr:col>21</xdr:col>
      <xdr:colOff>741963</xdr:colOff>
      <xdr:row>22</xdr:row>
      <xdr:rowOff>151184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BBAA27-A066-44A4-A6A3-66F2BFBA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84832" y="44097"/>
          <a:ext cx="4591021" cy="4181670"/>
        </a:xfrm>
        <a:prstGeom prst="rect">
          <a:avLst/>
        </a:prstGeom>
      </xdr:spPr>
    </xdr:pic>
    <xdr:clientData/>
  </xdr:twoCellAnchor>
  <xdr:twoCellAnchor>
    <xdr:from>
      <xdr:col>3</xdr:col>
      <xdr:colOff>90101</xdr:colOff>
      <xdr:row>25</xdr:row>
      <xdr:rowOff>167331</xdr:rowOff>
    </xdr:from>
    <xdr:to>
      <xdr:col>6</xdr:col>
      <xdr:colOff>729392</xdr:colOff>
      <xdr:row>31</xdr:row>
      <xdr:rowOff>90101</xdr:rowOff>
    </xdr:to>
    <xdr:sp macro="" textlink="">
      <xdr:nvSpPr>
        <xdr:cNvPr id="16" name="Forma libre: forma 15">
          <a:extLst>
            <a:ext uri="{FF2B5EF4-FFF2-40B4-BE49-F238E27FC236}">
              <a16:creationId xmlns:a16="http://schemas.microsoft.com/office/drawing/2014/main" id="{D545F10E-1754-4D37-B2AD-2166C922B4F0}"/>
            </a:ext>
          </a:extLst>
        </xdr:cNvPr>
        <xdr:cNvSpPr/>
      </xdr:nvSpPr>
      <xdr:spPr>
        <a:xfrm>
          <a:off x="2033716" y="4779662"/>
          <a:ext cx="2552872" cy="1029730"/>
        </a:xfrm>
        <a:custGeom>
          <a:avLst/>
          <a:gdLst>
            <a:gd name="connsiteX0" fmla="*/ 0 w 2552872"/>
            <a:gd name="connsiteY0" fmla="*/ 1029730 h 1029730"/>
            <a:gd name="connsiteX1" fmla="*/ 501993 w 2552872"/>
            <a:gd name="connsiteY1" fmla="*/ 733683 h 1029730"/>
            <a:gd name="connsiteX2" fmla="*/ 1016858 w 2552872"/>
            <a:gd name="connsiteY2" fmla="*/ 536318 h 1029730"/>
            <a:gd name="connsiteX3" fmla="*/ 1531723 w 2552872"/>
            <a:gd name="connsiteY3" fmla="*/ 197365 h 1029730"/>
            <a:gd name="connsiteX4" fmla="*/ 2042298 w 2552872"/>
            <a:gd name="connsiteY4" fmla="*/ 167331 h 1029730"/>
            <a:gd name="connsiteX5" fmla="*/ 2552872 w 2552872"/>
            <a:gd name="connsiteY5" fmla="*/ 0 h 10297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552872" h="1029730">
              <a:moveTo>
                <a:pt x="0" y="1029730"/>
              </a:moveTo>
              <a:cubicBezTo>
                <a:pt x="166258" y="922824"/>
                <a:pt x="332517" y="815918"/>
                <a:pt x="501993" y="733683"/>
              </a:cubicBezTo>
              <a:cubicBezTo>
                <a:pt x="671469" y="651448"/>
                <a:pt x="845236" y="625704"/>
                <a:pt x="1016858" y="536318"/>
              </a:cubicBezTo>
              <a:cubicBezTo>
                <a:pt x="1188480" y="446932"/>
                <a:pt x="1360816" y="258863"/>
                <a:pt x="1531723" y="197365"/>
              </a:cubicBezTo>
              <a:cubicBezTo>
                <a:pt x="1702630" y="135867"/>
                <a:pt x="1872107" y="200225"/>
                <a:pt x="2042298" y="167331"/>
              </a:cubicBezTo>
              <a:cubicBezTo>
                <a:pt x="2212489" y="134437"/>
                <a:pt x="2469207" y="26458"/>
                <a:pt x="2552872" y="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12</xdr:col>
      <xdr:colOff>342901</xdr:colOff>
      <xdr:row>22</xdr:row>
      <xdr:rowOff>165101</xdr:rowOff>
    </xdr:from>
    <xdr:to>
      <xdr:col>20</xdr:col>
      <xdr:colOff>76201</xdr:colOff>
      <xdr:row>39</xdr:row>
      <xdr:rowOff>93755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5226FD-950A-468A-BF68-E19A66C55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47101" y="4356101"/>
          <a:ext cx="5829300" cy="3167154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0.12482</cdr:x>
      <cdr:y>0.28712</cdr:y>
    </cdr:from>
    <cdr:to>
      <cdr:x>0.82737</cdr:x>
      <cdr:y>0.65633</cdr:y>
    </cdr:to>
    <cdr:sp macro="" textlink="">
      <cdr:nvSpPr>
        <cdr:cNvPr id="2" name="Forma libre: forma 1">
          <a:extLst xmlns:a="http://schemas.openxmlformats.org/drawingml/2006/main">
            <a:ext uri="{FF2B5EF4-FFF2-40B4-BE49-F238E27FC236}">
              <a16:creationId xmlns:a16="http://schemas.microsoft.com/office/drawing/2014/main" id="{0C4B8A89-4473-49C9-8EBB-0A0F792C2AC6}"/>
            </a:ext>
          </a:extLst>
        </cdr:cNvPr>
        <cdr:cNvSpPr/>
      </cdr:nvSpPr>
      <cdr:spPr>
        <a:xfrm xmlns:a="http://schemas.openxmlformats.org/drawingml/2006/main">
          <a:off x="437254" y="631572"/>
          <a:ext cx="2461135" cy="812148"/>
        </a:xfrm>
        <a:custGeom xmlns:a="http://schemas.openxmlformats.org/drawingml/2006/main">
          <a:avLst/>
          <a:gdLst>
            <a:gd name="connsiteX0" fmla="*/ 0 w 3325812"/>
            <a:gd name="connsiteY0" fmla="*/ 0 h 1460802"/>
            <a:gd name="connsiteX1" fmla="*/ 650875 w 3325812"/>
            <a:gd name="connsiteY1" fmla="*/ 301625 h 1460802"/>
            <a:gd name="connsiteX2" fmla="*/ 1325562 w 3325812"/>
            <a:gd name="connsiteY2" fmla="*/ 666750 h 1460802"/>
            <a:gd name="connsiteX3" fmla="*/ 2000250 w 3325812"/>
            <a:gd name="connsiteY3" fmla="*/ 960437 h 1460802"/>
            <a:gd name="connsiteX4" fmla="*/ 2627312 w 3325812"/>
            <a:gd name="connsiteY4" fmla="*/ 1397000 h 1460802"/>
            <a:gd name="connsiteX5" fmla="*/ 3325812 w 3325812"/>
            <a:gd name="connsiteY5" fmla="*/ 1460500 h 14608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325812" h="1460802">
              <a:moveTo>
                <a:pt x="0" y="0"/>
              </a:moveTo>
              <a:cubicBezTo>
                <a:pt x="214974" y="95250"/>
                <a:pt x="429948" y="190500"/>
                <a:pt x="650875" y="301625"/>
              </a:cubicBezTo>
              <a:cubicBezTo>
                <a:pt x="871802" y="412750"/>
                <a:pt x="1100666" y="556948"/>
                <a:pt x="1325562" y="666750"/>
              </a:cubicBezTo>
              <a:cubicBezTo>
                <a:pt x="1550458" y="776552"/>
                <a:pt x="1783292" y="838729"/>
                <a:pt x="2000250" y="960437"/>
              </a:cubicBezTo>
              <a:cubicBezTo>
                <a:pt x="2217208" y="1082145"/>
                <a:pt x="2406385" y="1313656"/>
                <a:pt x="2627312" y="1397000"/>
              </a:cubicBezTo>
              <a:cubicBezTo>
                <a:pt x="2848239" y="1480344"/>
                <a:pt x="3205427" y="1456531"/>
                <a:pt x="3325812" y="146050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O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170501</xdr:colOff>
      <xdr:row>23</xdr:row>
      <xdr:rowOff>175481</xdr:rowOff>
    </xdr:from>
    <xdr:to>
      <xdr:col>11</xdr:col>
      <xdr:colOff>620581</xdr:colOff>
      <xdr:row>37</xdr:row>
      <xdr:rowOff>185730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3A65D3-9D6F-4BC3-9512-F06E374AE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90543</xdr:colOff>
      <xdr:row>25</xdr:row>
      <xdr:rowOff>152939</xdr:rowOff>
    </xdr:from>
    <xdr:to>
      <xdr:col>5</xdr:col>
      <xdr:colOff>413762</xdr:colOff>
      <xdr:row>40</xdr:row>
      <xdr:rowOff>3311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F6D0611-36BA-4303-8A71-CA91B310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58899</xdr:colOff>
      <xdr:row>11</xdr:row>
      <xdr:rowOff>26147</xdr:rowOff>
    </xdr:from>
    <xdr:to>
      <xdr:col>5</xdr:col>
      <xdr:colOff>491435</xdr:colOff>
      <xdr:row>24</xdr:row>
      <xdr:rowOff>58899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B811D8-913E-43C5-B251-C8C40554A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168075</xdr:colOff>
      <xdr:row>0</xdr:row>
      <xdr:rowOff>0</xdr:rowOff>
    </xdr:from>
    <xdr:to>
      <xdr:col>13</xdr:col>
      <xdr:colOff>306307</xdr:colOff>
      <xdr:row>21</xdr:row>
      <xdr:rowOff>35139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CC6C111-AE30-4CC6-A799-D34E0FBCA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3338" y="0"/>
          <a:ext cx="5441039" cy="4012244"/>
        </a:xfrm>
        <a:prstGeom prst="rect">
          <a:avLst/>
        </a:prstGeom>
      </xdr:spPr>
    </xdr:pic>
    <xdr:clientData/>
  </xdr:twoCellAnchor>
  <xdr:twoCellAnchor editAs="oneCell">
    <xdr:from>
      <xdr:col>21</xdr:col>
      <xdr:colOff>389912</xdr:colOff>
      <xdr:row>1</xdr:row>
      <xdr:rowOff>167105</xdr:rowOff>
    </xdr:from>
    <xdr:to>
      <xdr:col>24</xdr:col>
      <xdr:colOff>54555</xdr:colOff>
      <xdr:row>5</xdr:row>
      <xdr:rowOff>22280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2AD81B2-F740-4D6F-967D-D92EC868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98333" y="356491"/>
          <a:ext cx="1937275" cy="612719"/>
        </a:xfrm>
        <a:prstGeom prst="rect">
          <a:avLst/>
        </a:prstGeom>
      </xdr:spPr>
    </xdr:pic>
    <xdr:clientData/>
  </xdr:twoCellAnchor>
  <xdr:twoCellAnchor editAs="oneCell">
    <xdr:from>
      <xdr:col>13</xdr:col>
      <xdr:colOff>545877</xdr:colOff>
      <xdr:row>1</xdr:row>
      <xdr:rowOff>33421</xdr:rowOff>
    </xdr:from>
    <xdr:to>
      <xdr:col>21</xdr:col>
      <xdr:colOff>323070</xdr:colOff>
      <xdr:row>15</xdr:row>
      <xdr:rowOff>23677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46DA15B-349E-44DA-B319-9993EF8BB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244" t="1659" b="1"/>
        <a:stretch/>
      </xdr:blipFill>
      <xdr:spPr>
        <a:xfrm>
          <a:off x="10393947" y="222807"/>
          <a:ext cx="5837544" cy="26416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8</xdr:row>
      <xdr:rowOff>63500</xdr:rowOff>
    </xdr:from>
    <xdr:to>
      <xdr:col>8</xdr:col>
      <xdr:colOff>323850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7CB669-E9D2-4CB7-9EE9-05B90C7D4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701675</xdr:colOff>
      <xdr:row>8</xdr:row>
      <xdr:rowOff>69850</xdr:rowOff>
    </xdr:from>
    <xdr:to>
      <xdr:col>14</xdr:col>
      <xdr:colOff>69850</xdr:colOff>
      <xdr:row>20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EF3643-4933-41FE-988A-CEEBB0A77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346075</xdr:colOff>
      <xdr:row>20</xdr:row>
      <xdr:rowOff>127000</xdr:rowOff>
    </xdr:from>
    <xdr:to>
      <xdr:col>8</xdr:col>
      <xdr:colOff>349250</xdr:colOff>
      <xdr:row>32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3C0E15-7B54-42F7-87A8-13F34970C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19049</xdr:colOff>
      <xdr:row>20</xdr:row>
      <xdr:rowOff>133350</xdr:rowOff>
    </xdr:from>
    <xdr:to>
      <xdr:col>14</xdr:col>
      <xdr:colOff>75198</xdr:colOff>
      <xdr:row>32</xdr:row>
      <xdr:rowOff>125329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BDE973-B3F7-4B4C-AFDC-7DCBB4FA8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535781</xdr:colOff>
      <xdr:row>24</xdr:row>
      <xdr:rowOff>128984</xdr:rowOff>
    </xdr:from>
    <xdr:to>
      <xdr:col>8</xdr:col>
      <xdr:colOff>148828</xdr:colOff>
      <xdr:row>29</xdr:row>
      <xdr:rowOff>178594</xdr:rowOff>
    </xdr:to>
    <xdr:sp macro="" textlink="">
      <xdr:nvSpPr>
        <xdr:cNvPr id="9" name="Forma libre: forma 8">
          <a:extLst>
            <a:ext uri="{FF2B5EF4-FFF2-40B4-BE49-F238E27FC236}">
              <a16:creationId xmlns:a16="http://schemas.microsoft.com/office/drawing/2014/main" id="{CDED8CAF-2793-48CA-AE21-AFE86901B630}"/>
            </a:ext>
          </a:extLst>
        </xdr:cNvPr>
        <xdr:cNvSpPr/>
      </xdr:nvSpPr>
      <xdr:spPr>
        <a:xfrm>
          <a:off x="3591719" y="4653359"/>
          <a:ext cx="2668984" cy="992188"/>
        </a:xfrm>
        <a:custGeom>
          <a:avLst/>
          <a:gdLst>
            <a:gd name="connsiteX0" fmla="*/ 0 w 2668984"/>
            <a:gd name="connsiteY0" fmla="*/ 992188 h 992188"/>
            <a:gd name="connsiteX1" fmla="*/ 664765 w 2668984"/>
            <a:gd name="connsiteY1" fmla="*/ 724297 h 992188"/>
            <a:gd name="connsiteX2" fmla="*/ 1339453 w 2668984"/>
            <a:gd name="connsiteY2" fmla="*/ 456407 h 992188"/>
            <a:gd name="connsiteX3" fmla="*/ 2024062 w 2668984"/>
            <a:gd name="connsiteY3" fmla="*/ 317500 h 992188"/>
            <a:gd name="connsiteX4" fmla="*/ 2668984 w 2668984"/>
            <a:gd name="connsiteY4" fmla="*/ 0 h 9921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668984" h="992188">
              <a:moveTo>
                <a:pt x="0" y="992188"/>
              </a:moveTo>
              <a:lnTo>
                <a:pt x="664765" y="724297"/>
              </a:lnTo>
              <a:cubicBezTo>
                <a:pt x="888007" y="635000"/>
                <a:pt x="1112904" y="524206"/>
                <a:pt x="1339453" y="456407"/>
              </a:cubicBezTo>
              <a:cubicBezTo>
                <a:pt x="1566002" y="388608"/>
                <a:pt x="1802474" y="393568"/>
                <a:pt x="2024062" y="317500"/>
              </a:cubicBezTo>
              <a:cubicBezTo>
                <a:pt x="2245650" y="241432"/>
                <a:pt x="2457317" y="120716"/>
                <a:pt x="2668984" y="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180812</xdr:colOff>
      <xdr:row>12</xdr:row>
      <xdr:rowOff>68788</xdr:rowOff>
    </xdr:from>
    <xdr:to>
      <xdr:col>12</xdr:col>
      <xdr:colOff>724531</xdr:colOff>
      <xdr:row>17</xdr:row>
      <xdr:rowOff>24513</xdr:rowOff>
    </xdr:to>
    <xdr:sp macro="" textlink="">
      <xdr:nvSpPr>
        <xdr:cNvPr id="10" name="Forma libre: forma 9">
          <a:extLst>
            <a:ext uri="{FF2B5EF4-FFF2-40B4-BE49-F238E27FC236}">
              <a16:creationId xmlns:a16="http://schemas.microsoft.com/office/drawing/2014/main" id="{853CFE80-6FEE-47E1-9597-600C79794FBF}"/>
            </a:ext>
          </a:extLst>
        </xdr:cNvPr>
        <xdr:cNvSpPr/>
      </xdr:nvSpPr>
      <xdr:spPr>
        <a:xfrm>
          <a:off x="7195694" y="2309964"/>
          <a:ext cx="2829719" cy="889549"/>
        </a:xfrm>
        <a:custGeom>
          <a:avLst/>
          <a:gdLst>
            <a:gd name="connsiteX0" fmla="*/ 2837657 w 2837657"/>
            <a:gd name="connsiteY0" fmla="*/ 898304 h 898304"/>
            <a:gd name="connsiteX1" fmla="*/ 2113360 w 2837657"/>
            <a:gd name="connsiteY1" fmla="*/ 769319 h 898304"/>
            <a:gd name="connsiteX2" fmla="*/ 1408907 w 2837657"/>
            <a:gd name="connsiteY2" fmla="*/ 412132 h 898304"/>
            <a:gd name="connsiteX3" fmla="*/ 714375 w 2837657"/>
            <a:gd name="connsiteY3" fmla="*/ 35101 h 898304"/>
            <a:gd name="connsiteX4" fmla="*/ 0 w 2837657"/>
            <a:gd name="connsiteY4" fmla="*/ 15257 h 8983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837657" h="898304">
              <a:moveTo>
                <a:pt x="2837657" y="898304"/>
              </a:moveTo>
              <a:cubicBezTo>
                <a:pt x="2594571" y="874326"/>
                <a:pt x="2351485" y="850348"/>
                <a:pt x="2113360" y="769319"/>
              </a:cubicBezTo>
              <a:cubicBezTo>
                <a:pt x="1875235" y="688290"/>
                <a:pt x="1642071" y="534502"/>
                <a:pt x="1408907" y="412132"/>
              </a:cubicBezTo>
              <a:cubicBezTo>
                <a:pt x="1175743" y="289762"/>
                <a:pt x="949193" y="101247"/>
                <a:pt x="714375" y="35101"/>
              </a:cubicBezTo>
              <a:cubicBezTo>
                <a:pt x="479557" y="-31045"/>
                <a:pt x="117409" y="16911"/>
                <a:pt x="0" y="1525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7C98-F2C5-42DC-AA87-005187187AD5}">
  <dimension ref="A1:P32"/>
  <sheetViews>
    <sheetView zoomScale="60" zoomScaleNormal="60" workbookViewId="0">
      <selection activeCell="I33" sqref="I33"/>
    </sheetView>
  </sheetViews>
  <sheetFormatPr baseColWidth="10" defaultRowHeight="14.5" x14ac:dyDescent="0.35"/>
  <cols>
    <col min="1" max="2" width="10.90625" style="1"/>
    <col min="3" max="3" width="17.36328125" style="1" customWidth="1"/>
    <col min="4" max="5" width="10.90625" style="1"/>
    <col min="6" max="6" width="14.1796875" style="1" customWidth="1"/>
    <col min="7" max="16384" width="10.90625" style="1"/>
  </cols>
  <sheetData>
    <row r="1" spans="1:16" x14ac:dyDescent="0.35">
      <c r="A1" s="1">
        <v>5.5696279793694875E-2</v>
      </c>
      <c r="D1" s="2"/>
    </row>
    <row r="2" spans="1:16" x14ac:dyDescent="0.35">
      <c r="A2" s="1">
        <v>0.36692403942991425</v>
      </c>
      <c r="B2" s="2"/>
      <c r="C2" s="3" t="s">
        <v>0</v>
      </c>
      <c r="D2" s="5">
        <f>MIN(A1:A30)</f>
        <v>5.5696279793694875E-2</v>
      </c>
      <c r="E2" s="2"/>
      <c r="F2" s="10"/>
      <c r="G2" s="10" t="s">
        <v>4</v>
      </c>
      <c r="H2" s="10" t="s">
        <v>5</v>
      </c>
      <c r="I2" s="10" t="s">
        <v>8</v>
      </c>
      <c r="J2" s="10" t="s">
        <v>9</v>
      </c>
      <c r="K2" s="10" t="s">
        <v>11</v>
      </c>
      <c r="L2" s="10" t="s">
        <v>10</v>
      </c>
      <c r="M2" s="10" t="s">
        <v>5</v>
      </c>
      <c r="N2" s="10" t="s">
        <v>13</v>
      </c>
    </row>
    <row r="3" spans="1:16" x14ac:dyDescent="0.35">
      <c r="A3" s="1">
        <v>0.28864406262398146</v>
      </c>
      <c r="B3" s="7"/>
      <c r="C3" s="6" t="s">
        <v>1</v>
      </c>
      <c r="D3" s="7">
        <f>MAX(A1:A30)</f>
        <v>0.9846491897335734</v>
      </c>
      <c r="E3" s="2"/>
      <c r="F3" s="10" t="s">
        <v>14</v>
      </c>
      <c r="G3" s="10">
        <f>+D2</f>
        <v>5.5696279793694875E-2</v>
      </c>
      <c r="H3" s="10">
        <f>+G3+D6</f>
        <v>0.21382937839107957</v>
      </c>
      <c r="I3" s="10" cm="1">
        <f t="array" ref="I3:I9">FREQUENCY(A1:A28,H3:H8)</f>
        <v>6</v>
      </c>
      <c r="J3" s="10">
        <f>+I3/I10</f>
        <v>0.21428571428571427</v>
      </c>
      <c r="K3" s="10">
        <f>I3</f>
        <v>6</v>
      </c>
      <c r="L3" s="10">
        <f>+J3</f>
        <v>0.21428571428571427</v>
      </c>
      <c r="M3" s="10">
        <f t="shared" ref="M3:M8" si="0">(G3+H3)/2</f>
        <v>0.13476282909238724</v>
      </c>
      <c r="N3" s="10">
        <f>+N4+I3</f>
        <v>28</v>
      </c>
    </row>
    <row r="4" spans="1:16" x14ac:dyDescent="0.35">
      <c r="A4" s="1">
        <v>0.79107028412732328</v>
      </c>
      <c r="C4" s="6" t="s">
        <v>7</v>
      </c>
      <c r="D4" s="7">
        <f>+D3-D2</f>
        <v>0.92895290993987856</v>
      </c>
      <c r="E4" s="2"/>
      <c r="F4" s="10" t="s">
        <v>15</v>
      </c>
      <c r="G4" s="10">
        <f>+H3</f>
        <v>0.21382937839107957</v>
      </c>
      <c r="H4" s="10">
        <f>+G4+D6</f>
        <v>0.3719624769884643</v>
      </c>
      <c r="I4" s="10">
        <v>5</v>
      </c>
      <c r="J4" s="10">
        <f>I4/I10</f>
        <v>0.17857142857142858</v>
      </c>
      <c r="K4" s="10">
        <f>K3+I4</f>
        <v>11</v>
      </c>
      <c r="L4" s="10">
        <f>+L3+J4</f>
        <v>0.39285714285714285</v>
      </c>
      <c r="M4" s="10">
        <f t="shared" si="0"/>
        <v>0.29289592768977191</v>
      </c>
      <c r="N4" s="10">
        <f>+N5+I4</f>
        <v>22</v>
      </c>
    </row>
    <row r="5" spans="1:16" x14ac:dyDescent="0.35">
      <c r="A5" s="1">
        <v>0.48063600573747978</v>
      </c>
      <c r="C5" s="6" t="s">
        <v>3</v>
      </c>
      <c r="D5" s="7">
        <f>LOG(30)*3.3+1</f>
        <v>5.8745001405748853</v>
      </c>
      <c r="E5" s="2"/>
      <c r="F5" s="10" t="s">
        <v>16</v>
      </c>
      <c r="G5" s="10">
        <f>+H4</f>
        <v>0.3719624769884643</v>
      </c>
      <c r="H5" s="10">
        <f>+G5+D6</f>
        <v>0.53009557558584897</v>
      </c>
      <c r="I5" s="10">
        <v>4</v>
      </c>
      <c r="J5" s="10">
        <f>I5/I10</f>
        <v>0.14285714285714285</v>
      </c>
      <c r="K5" s="10">
        <f>K4+I5</f>
        <v>15</v>
      </c>
      <c r="L5" s="10">
        <f>+L4+J5</f>
        <v>0.5357142857142857</v>
      </c>
      <c r="M5" s="10">
        <f t="shared" si="0"/>
        <v>0.45102902628715663</v>
      </c>
      <c r="N5" s="10">
        <f>+N6+I5</f>
        <v>17</v>
      </c>
    </row>
    <row r="6" spans="1:16" x14ac:dyDescent="0.35">
      <c r="A6" s="1">
        <v>0.32276375621814629</v>
      </c>
      <c r="C6" s="8" t="s">
        <v>2</v>
      </c>
      <c r="D6" s="9">
        <f>+D4/D5</f>
        <v>0.1581330985973847</v>
      </c>
      <c r="E6" s="2"/>
      <c r="F6" s="10" t="s">
        <v>17</v>
      </c>
      <c r="G6" s="10">
        <f>+H5</f>
        <v>0.53009557558584897</v>
      </c>
      <c r="H6" s="10">
        <f>+G6+D6</f>
        <v>0.68822867418323364</v>
      </c>
      <c r="I6" s="10">
        <v>3</v>
      </c>
      <c r="J6" s="10">
        <f>I6/I10</f>
        <v>0.10714285714285714</v>
      </c>
      <c r="K6" s="10">
        <f>K5+I6</f>
        <v>18</v>
      </c>
      <c r="L6" s="10">
        <f>+L5+J6</f>
        <v>0.64285714285714279</v>
      </c>
      <c r="M6" s="10">
        <f t="shared" si="0"/>
        <v>0.60916212488454136</v>
      </c>
      <c r="N6" s="10">
        <f>+N7+I6</f>
        <v>13</v>
      </c>
    </row>
    <row r="7" spans="1:16" x14ac:dyDescent="0.35">
      <c r="A7" s="1">
        <v>5.9205908383434556E-2</v>
      </c>
      <c r="E7" s="6" t="s">
        <v>12</v>
      </c>
      <c r="F7" s="10" t="s">
        <v>18</v>
      </c>
      <c r="G7" s="10">
        <f>+H6</f>
        <v>0.68822867418323364</v>
      </c>
      <c r="H7" s="10">
        <f>+G7+D6</f>
        <v>0.8463617727806183</v>
      </c>
      <c r="I7" s="10">
        <v>6</v>
      </c>
      <c r="J7" s="10">
        <f>I7/I10</f>
        <v>0.21428571428571427</v>
      </c>
      <c r="K7" s="10">
        <f>K6+I7</f>
        <v>24</v>
      </c>
      <c r="L7" s="10">
        <f>+L6+J7</f>
        <v>0.8571428571428571</v>
      </c>
      <c r="M7" s="10">
        <f t="shared" si="0"/>
        <v>0.76729522348192591</v>
      </c>
      <c r="N7" s="10">
        <f>+N8+I7</f>
        <v>10</v>
      </c>
    </row>
    <row r="8" spans="1:16" x14ac:dyDescent="0.35">
      <c r="A8" s="1">
        <v>0.57454145939512313</v>
      </c>
      <c r="F8" s="10" t="s">
        <v>19</v>
      </c>
      <c r="G8" s="10">
        <f>+H7</f>
        <v>0.8463617727806183</v>
      </c>
      <c r="H8" s="10">
        <f>+G8+D6</f>
        <v>1.0044948713780031</v>
      </c>
      <c r="I8" s="10">
        <v>4</v>
      </c>
      <c r="J8" s="10">
        <f>I8/I10</f>
        <v>0.14285714285714285</v>
      </c>
      <c r="K8" s="10">
        <f>K7+I8</f>
        <v>28</v>
      </c>
      <c r="L8" s="10">
        <f>+L7+J8</f>
        <v>1</v>
      </c>
      <c r="M8" s="10">
        <f t="shared" si="0"/>
        <v>0.92542832207931069</v>
      </c>
      <c r="N8" s="10">
        <f>+I8</f>
        <v>4</v>
      </c>
    </row>
    <row r="9" spans="1:16" x14ac:dyDescent="0.35">
      <c r="A9" s="1">
        <v>0.81502731406598106</v>
      </c>
      <c r="B9" s="2"/>
      <c r="C9" s="2"/>
      <c r="D9" s="2"/>
      <c r="E9" s="7"/>
      <c r="F9" s="10"/>
      <c r="G9" s="33" t="s">
        <v>6</v>
      </c>
      <c r="H9" s="33"/>
      <c r="I9" s="10">
        <v>0</v>
      </c>
      <c r="J9" s="10">
        <f>SUM(J3:J8)</f>
        <v>1</v>
      </c>
      <c r="K9" s="10"/>
      <c r="L9" s="10"/>
      <c r="M9" s="10"/>
      <c r="N9" s="10"/>
    </row>
    <row r="10" spans="1:16" x14ac:dyDescent="0.35">
      <c r="A10" s="1">
        <v>0.35294656208990755</v>
      </c>
      <c r="B10" s="2"/>
      <c r="C10" s="2"/>
      <c r="D10" s="2"/>
      <c r="E10" s="2"/>
      <c r="I10" s="1">
        <f>SUM(_xlfn.ANCHORARRAY(I3))</f>
        <v>28</v>
      </c>
    </row>
    <row r="11" spans="1:16" x14ac:dyDescent="0.35">
      <c r="A11" s="1">
        <v>0.60518204290902433</v>
      </c>
      <c r="B11" s="2"/>
      <c r="C11" s="2"/>
      <c r="D11" s="2"/>
      <c r="E11" s="2"/>
    </row>
    <row r="12" spans="1:16" x14ac:dyDescent="0.35">
      <c r="A12" s="1">
        <v>0.81829279457991266</v>
      </c>
    </row>
    <row r="13" spans="1:16" x14ac:dyDescent="0.35">
      <c r="A13" s="1">
        <v>6.613361003448591E-2</v>
      </c>
      <c r="H13" s="1" t="s">
        <v>21</v>
      </c>
      <c r="P13" s="1" t="s">
        <v>20</v>
      </c>
    </row>
    <row r="14" spans="1:16" x14ac:dyDescent="0.35">
      <c r="A14" s="1">
        <v>0.77196569719534902</v>
      </c>
    </row>
    <row r="15" spans="1:16" x14ac:dyDescent="0.35">
      <c r="A15" s="1">
        <v>0.47370830408642844</v>
      </c>
    </row>
    <row r="16" spans="1:16" x14ac:dyDescent="0.35">
      <c r="A16" s="1">
        <v>0.90835291604358048</v>
      </c>
    </row>
    <row r="17" spans="1:4" x14ac:dyDescent="0.35">
      <c r="A17" s="1">
        <v>0.49208044679097873</v>
      </c>
    </row>
    <row r="18" spans="1:4" x14ac:dyDescent="0.35">
      <c r="A18" s="1">
        <v>5.6001464888454845E-2</v>
      </c>
    </row>
    <row r="19" spans="1:4" x14ac:dyDescent="0.35">
      <c r="A19" s="1">
        <v>0.9846491897335734</v>
      </c>
    </row>
    <row r="20" spans="1:4" x14ac:dyDescent="0.35">
      <c r="A20" s="1">
        <v>0.13977477340006714</v>
      </c>
    </row>
    <row r="21" spans="1:4" x14ac:dyDescent="0.35">
      <c r="A21" s="1">
        <v>0.94460890530106512</v>
      </c>
    </row>
    <row r="22" spans="1:4" x14ac:dyDescent="0.35">
      <c r="A22" s="1">
        <v>0.93948179570909762</v>
      </c>
    </row>
    <row r="23" spans="1:4" x14ac:dyDescent="0.35">
      <c r="A23" s="1">
        <v>0.5663319803460799</v>
      </c>
    </row>
    <row r="24" spans="1:4" x14ac:dyDescent="0.35">
      <c r="A24" s="1">
        <v>0.83336893826105529</v>
      </c>
    </row>
    <row r="25" spans="1:4" x14ac:dyDescent="0.35">
      <c r="A25" s="1">
        <v>0.14365062410351878</v>
      </c>
    </row>
    <row r="26" spans="1:4" x14ac:dyDescent="0.35">
      <c r="A26" s="1">
        <v>0.71605578783532209</v>
      </c>
    </row>
    <row r="27" spans="1:4" x14ac:dyDescent="0.35">
      <c r="A27" s="1">
        <v>0.47666859950560014</v>
      </c>
      <c r="C27" s="1">
        <v>5</v>
      </c>
      <c r="D27" s="1">
        <v>5</v>
      </c>
    </row>
    <row r="28" spans="1:4" x14ac:dyDescent="0.35">
      <c r="A28" s="1">
        <v>0.29795220801416061</v>
      </c>
      <c r="C28" s="1">
        <v>5</v>
      </c>
      <c r="D28" s="1">
        <v>5</v>
      </c>
    </row>
    <row r="29" spans="1:4" x14ac:dyDescent="0.35">
      <c r="A29" s="1">
        <v>0.41480758079775382</v>
      </c>
      <c r="C29" s="1">
        <v>3</v>
      </c>
      <c r="D29" s="1">
        <v>3</v>
      </c>
    </row>
    <row r="30" spans="1:4" x14ac:dyDescent="0.35">
      <c r="A30" s="1">
        <v>0.15173802911465803</v>
      </c>
      <c r="C30" s="1">
        <v>6</v>
      </c>
      <c r="D30" s="1">
        <v>6</v>
      </c>
    </row>
    <row r="31" spans="1:4" x14ac:dyDescent="0.35">
      <c r="C31" s="1">
        <v>5</v>
      </c>
      <c r="D31" s="1">
        <v>5</v>
      </c>
    </row>
    <row r="32" spans="1:4" x14ac:dyDescent="0.35">
      <c r="C32" s="1">
        <v>4</v>
      </c>
      <c r="D32" s="1">
        <v>4</v>
      </c>
    </row>
  </sheetData>
  <mergeCells count="1">
    <mergeCell ref="G9:H9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B86A-E68E-41D8-8DC6-AA749DC8DD95}">
  <dimension ref="A1:O30"/>
  <sheetViews>
    <sheetView zoomScale="50" zoomScaleNormal="50" workbookViewId="0">
      <selection activeCell="J41" sqref="J41"/>
    </sheetView>
  </sheetViews>
  <sheetFormatPr baseColWidth="10" defaultRowHeight="14.5" x14ac:dyDescent="0.35"/>
  <cols>
    <col min="1" max="1" width="5.36328125" style="1" customWidth="1"/>
    <col min="2" max="2" width="2.26953125" style="1" customWidth="1"/>
    <col min="3" max="3" width="16.6328125" style="1" customWidth="1"/>
    <col min="4" max="4" width="10.90625" style="1"/>
    <col min="5" max="5" width="5.54296875" style="1" customWidth="1"/>
    <col min="6" max="16384" width="10.90625" style="1"/>
  </cols>
  <sheetData>
    <row r="1" spans="1:15" x14ac:dyDescent="0.35">
      <c r="A1" s="11">
        <v>0.21475875118259224</v>
      </c>
      <c r="C1" s="3" t="s">
        <v>0</v>
      </c>
      <c r="D1" s="5">
        <f>MIN(A1:A30)</f>
        <v>9.3691824091311389E-3</v>
      </c>
      <c r="F1" s="10"/>
      <c r="G1" s="10" t="s">
        <v>4</v>
      </c>
      <c r="H1" s="10" t="s">
        <v>5</v>
      </c>
      <c r="I1" s="10" t="s">
        <v>8</v>
      </c>
      <c r="J1" s="10" t="s">
        <v>9</v>
      </c>
      <c r="K1" s="10" t="s">
        <v>11</v>
      </c>
      <c r="L1" s="10" t="s">
        <v>10</v>
      </c>
      <c r="M1" s="10" t="s">
        <v>5</v>
      </c>
      <c r="N1" s="10" t="s">
        <v>13</v>
      </c>
      <c r="O1" s="10" t="s">
        <v>28</v>
      </c>
    </row>
    <row r="2" spans="1:15" x14ac:dyDescent="0.35">
      <c r="A2" s="12">
        <v>0.55656605731376074</v>
      </c>
      <c r="C2" s="6" t="s">
        <v>1</v>
      </c>
      <c r="D2" s="7">
        <f>MAX(A1:A30)</f>
        <v>0.99249244666890468</v>
      </c>
      <c r="F2" s="10" t="s">
        <v>22</v>
      </c>
      <c r="G2" s="10">
        <f>+D1</f>
        <v>9.3691824091311389E-3</v>
      </c>
      <c r="H2" s="10">
        <f>+G2+D5</f>
        <v>0.17672355141652793</v>
      </c>
      <c r="I2" s="10">
        <f t="array" ref="I2:I8">FREQUENCY(A1:A30,H2:H7)</f>
        <v>5</v>
      </c>
      <c r="J2" s="10">
        <f>+I2/I9</f>
        <v>0.16666666666666666</v>
      </c>
      <c r="K2" s="10">
        <f>+I2</f>
        <v>5</v>
      </c>
      <c r="L2" s="10">
        <f>+J2</f>
        <v>0.16666666666666666</v>
      </c>
      <c r="M2" s="10">
        <f t="shared" ref="M2:M7" si="0">(G2+H2)/2</f>
        <v>9.304636691282954E-2</v>
      </c>
      <c r="N2" s="10">
        <f>+N3+I2</f>
        <v>30</v>
      </c>
      <c r="O2" s="10">
        <f>+I2*M2</f>
        <v>0.46523183456414768</v>
      </c>
    </row>
    <row r="3" spans="1:15" x14ac:dyDescent="0.35">
      <c r="A3" s="12">
        <v>0.24613177892391735</v>
      </c>
      <c r="C3" s="6" t="s">
        <v>7</v>
      </c>
      <c r="D3" s="7">
        <f>+D2-D1</f>
        <v>0.98312326425977359</v>
      </c>
      <c r="F3" s="10" t="s">
        <v>23</v>
      </c>
      <c r="G3" s="10">
        <f>+H2</f>
        <v>0.17672355141652793</v>
      </c>
      <c r="H3" s="10">
        <f>+G3+D5</f>
        <v>0.34407792042392471</v>
      </c>
      <c r="I3" s="10">
        <v>7</v>
      </c>
      <c r="J3" s="10">
        <f>+I3/I9</f>
        <v>0.23333333333333334</v>
      </c>
      <c r="K3" s="10">
        <f t="shared" ref="K3:L7" si="1">+K2+I3</f>
        <v>12</v>
      </c>
      <c r="L3" s="10">
        <f t="shared" si="1"/>
        <v>0.4</v>
      </c>
      <c r="M3" s="10">
        <f t="shared" si="0"/>
        <v>0.26040073592022633</v>
      </c>
      <c r="N3" s="10">
        <f>+N4+I3</f>
        <v>25</v>
      </c>
      <c r="O3" s="10">
        <f>+I3*M3</f>
        <v>1.8228051514415844</v>
      </c>
    </row>
    <row r="4" spans="1:15" x14ac:dyDescent="0.35">
      <c r="A4" s="12">
        <v>0.25876644184698017</v>
      </c>
      <c r="C4" s="6" t="s">
        <v>3</v>
      </c>
      <c r="D4" s="7">
        <f>LOG(30)*3.3+1</f>
        <v>5.8745001405748853</v>
      </c>
      <c r="F4" s="10" t="s">
        <v>24</v>
      </c>
      <c r="G4" s="10">
        <f>+H3</f>
        <v>0.34407792042392471</v>
      </c>
      <c r="H4" s="10">
        <f>+H3+D5</f>
        <v>0.51143228943132146</v>
      </c>
      <c r="I4" s="10">
        <v>5</v>
      </c>
      <c r="J4" s="10">
        <f>+I4/I9</f>
        <v>0.16666666666666666</v>
      </c>
      <c r="K4" s="10">
        <f t="shared" si="1"/>
        <v>17</v>
      </c>
      <c r="L4" s="10">
        <f t="shared" si="1"/>
        <v>0.56666666666666665</v>
      </c>
      <c r="M4" s="10">
        <f t="shared" si="0"/>
        <v>0.42775510492762309</v>
      </c>
      <c r="N4" s="10">
        <f>+N5+I4</f>
        <v>18</v>
      </c>
      <c r="O4" s="10">
        <f>+G4+H4/2</f>
        <v>0.59979406513958544</v>
      </c>
    </row>
    <row r="5" spans="1:15" x14ac:dyDescent="0.35">
      <c r="A5" s="12">
        <v>0.79869991149632247</v>
      </c>
      <c r="C5" s="8" t="s">
        <v>2</v>
      </c>
      <c r="D5" s="9">
        <f>D3/D4</f>
        <v>0.16735436900739678</v>
      </c>
      <c r="F5" s="10" t="s">
        <v>25</v>
      </c>
      <c r="G5" s="10">
        <f>+H4</f>
        <v>0.51143228943132146</v>
      </c>
      <c r="H5" s="10">
        <f>+H4+D5</f>
        <v>0.67878665843871822</v>
      </c>
      <c r="I5" s="10">
        <v>8</v>
      </c>
      <c r="J5" s="10">
        <f>+I5/I9</f>
        <v>0.26666666666666666</v>
      </c>
      <c r="K5" s="10">
        <f t="shared" si="1"/>
        <v>25</v>
      </c>
      <c r="L5" s="10">
        <f t="shared" si="1"/>
        <v>0.83333333333333326</v>
      </c>
      <c r="M5" s="10">
        <f t="shared" si="0"/>
        <v>0.59510947393501978</v>
      </c>
      <c r="N5" s="10">
        <f>+N6+I5</f>
        <v>13</v>
      </c>
      <c r="O5" s="10">
        <f>+I5*M5</f>
        <v>4.7608757914801583</v>
      </c>
    </row>
    <row r="6" spans="1:15" x14ac:dyDescent="0.35">
      <c r="A6" s="12">
        <v>0.48005615405743585</v>
      </c>
      <c r="F6" s="10" t="s">
        <v>27</v>
      </c>
      <c r="G6" s="10">
        <f>+H5</f>
        <v>0.67878665843871822</v>
      </c>
      <c r="H6" s="10">
        <f>+G6+D5</f>
        <v>0.84614102744611497</v>
      </c>
      <c r="I6" s="10">
        <v>1</v>
      </c>
      <c r="J6" s="10">
        <f>+I6/I9</f>
        <v>3.3333333333333333E-2</v>
      </c>
      <c r="K6" s="10">
        <f t="shared" si="1"/>
        <v>26</v>
      </c>
      <c r="L6" s="10">
        <f t="shared" si="1"/>
        <v>0.86666666666666659</v>
      </c>
      <c r="M6" s="10">
        <f t="shared" si="0"/>
        <v>0.76246384294241665</v>
      </c>
      <c r="N6" s="10">
        <f>+N7+I6</f>
        <v>5</v>
      </c>
      <c r="O6" s="10">
        <f>+I6*M6</f>
        <v>0.76246384294241665</v>
      </c>
    </row>
    <row r="7" spans="1:15" x14ac:dyDescent="0.35">
      <c r="A7" s="12">
        <v>0.92843409527878662</v>
      </c>
      <c r="C7" s="1">
        <v>5</v>
      </c>
      <c r="D7" s="1">
        <v>5</v>
      </c>
      <c r="F7" s="10" t="s">
        <v>26</v>
      </c>
      <c r="G7" s="10">
        <f>+H6</f>
        <v>0.84614102744611497</v>
      </c>
      <c r="H7" s="10">
        <f>+G7+D5</f>
        <v>1.0134953964535118</v>
      </c>
      <c r="I7" s="10">
        <v>4</v>
      </c>
      <c r="J7" s="10">
        <f>+I7/I9</f>
        <v>0.13333333333333333</v>
      </c>
      <c r="K7" s="10">
        <f t="shared" si="1"/>
        <v>30</v>
      </c>
      <c r="L7" s="10">
        <f t="shared" si="1"/>
        <v>0.99999999999999989</v>
      </c>
      <c r="M7" s="10">
        <f t="shared" si="0"/>
        <v>0.9298182119498134</v>
      </c>
      <c r="N7" s="10">
        <f>+I7</f>
        <v>4</v>
      </c>
      <c r="O7" s="10">
        <f>+I7*M7</f>
        <v>3.7192728477992536</v>
      </c>
    </row>
    <row r="8" spans="1:15" x14ac:dyDescent="0.35">
      <c r="A8" s="12">
        <v>0.41798150578325755</v>
      </c>
      <c r="C8" s="1">
        <v>7</v>
      </c>
      <c r="D8" s="1">
        <v>7</v>
      </c>
      <c r="F8" s="10"/>
      <c r="G8" s="34" t="s">
        <v>6</v>
      </c>
      <c r="H8" s="35"/>
      <c r="I8" s="10">
        <v>0</v>
      </c>
      <c r="J8" s="10">
        <f>SUM(J2:J7)</f>
        <v>0.99999999999999989</v>
      </c>
      <c r="K8" s="10"/>
      <c r="L8" s="10"/>
      <c r="M8" s="10"/>
      <c r="N8" s="10"/>
      <c r="O8" s="10">
        <f>SUM(O2:O7)</f>
        <v>12.130443533367146</v>
      </c>
    </row>
    <row r="9" spans="1:15" x14ac:dyDescent="0.35">
      <c r="A9" s="12">
        <v>9.3691824091311389E-3</v>
      </c>
      <c r="C9" s="1">
        <v>5</v>
      </c>
      <c r="D9" s="1">
        <v>5</v>
      </c>
      <c r="E9" s="2"/>
      <c r="F9" s="4"/>
      <c r="G9" s="4"/>
      <c r="H9" s="4"/>
      <c r="I9" s="4">
        <f>SUM(I2:I8)</f>
        <v>30</v>
      </c>
      <c r="J9" s="4"/>
      <c r="K9" s="4"/>
      <c r="L9" s="4"/>
      <c r="M9" s="4"/>
      <c r="N9" s="2"/>
      <c r="O9" s="2"/>
    </row>
    <row r="10" spans="1:15" x14ac:dyDescent="0.35">
      <c r="A10" s="12">
        <v>0.86284981841486863</v>
      </c>
      <c r="C10" s="1">
        <v>8</v>
      </c>
      <c r="D10" s="1">
        <v>8</v>
      </c>
      <c r="F10" s="14"/>
      <c r="G10" s="2"/>
      <c r="H10" s="2"/>
      <c r="I10" s="2"/>
      <c r="J10" s="2"/>
      <c r="K10" s="2"/>
      <c r="L10" s="2"/>
      <c r="M10" s="2"/>
      <c r="N10" s="2"/>
    </row>
    <row r="11" spans="1:15" x14ac:dyDescent="0.35">
      <c r="A11" s="12">
        <v>0.49522385326700646</v>
      </c>
      <c r="C11" s="1">
        <v>1</v>
      </c>
      <c r="D11" s="1">
        <v>1</v>
      </c>
      <c r="F11" s="2"/>
    </row>
    <row r="12" spans="1:15" x14ac:dyDescent="0.35">
      <c r="A12" s="12">
        <v>0.29276406140324107</v>
      </c>
      <c r="C12" s="1">
        <v>4</v>
      </c>
      <c r="D12" s="1">
        <v>4</v>
      </c>
    </row>
    <row r="13" spans="1:15" x14ac:dyDescent="0.35">
      <c r="A13" s="12">
        <v>0.49723807489242228</v>
      </c>
    </row>
    <row r="14" spans="1:15" x14ac:dyDescent="0.35">
      <c r="A14" s="12">
        <v>0.54921109653004552</v>
      </c>
    </row>
    <row r="15" spans="1:15" x14ac:dyDescent="0.35">
      <c r="A15" s="12">
        <v>0.52745139927365947</v>
      </c>
    </row>
    <row r="16" spans="1:15" x14ac:dyDescent="0.35">
      <c r="A16" s="12">
        <v>0.29923398541215246</v>
      </c>
    </row>
    <row r="17" spans="1:1" x14ac:dyDescent="0.35">
      <c r="A17" s="12">
        <v>3.7598803674428541E-2</v>
      </c>
    </row>
    <row r="18" spans="1:1" x14ac:dyDescent="0.35">
      <c r="A18" s="12">
        <v>0.64125492110965299</v>
      </c>
    </row>
    <row r="19" spans="1:1" x14ac:dyDescent="0.35">
      <c r="A19" s="12">
        <v>0.93408001953184605</v>
      </c>
    </row>
    <row r="20" spans="1:1" x14ac:dyDescent="0.35">
      <c r="A20" s="12">
        <v>0.56434827723014003</v>
      </c>
    </row>
    <row r="21" spans="1:1" x14ac:dyDescent="0.35">
      <c r="A21" s="12">
        <v>0.18774987029633472</v>
      </c>
    </row>
    <row r="22" spans="1:1" x14ac:dyDescent="0.35">
      <c r="A22" s="12">
        <v>0.1532639545884579</v>
      </c>
    </row>
    <row r="23" spans="1:1" x14ac:dyDescent="0.35">
      <c r="A23" s="12">
        <v>0.11407818842127751</v>
      </c>
    </row>
    <row r="24" spans="1:1" x14ac:dyDescent="0.35">
      <c r="A24" s="12">
        <v>6.5462202826013977E-2</v>
      </c>
    </row>
    <row r="25" spans="1:1" x14ac:dyDescent="0.35">
      <c r="A25" s="12">
        <v>0.99249244666890468</v>
      </c>
    </row>
    <row r="26" spans="1:1" x14ac:dyDescent="0.35">
      <c r="A26" s="12">
        <v>0.51973021637623218</v>
      </c>
    </row>
    <row r="27" spans="1:1" x14ac:dyDescent="0.35">
      <c r="A27" s="12">
        <v>0.55757316812646873</v>
      </c>
    </row>
    <row r="28" spans="1:1" x14ac:dyDescent="0.35">
      <c r="A28" s="12">
        <v>0.45200964384899439</v>
      </c>
    </row>
    <row r="29" spans="1:1" x14ac:dyDescent="0.35">
      <c r="A29" s="12">
        <v>0.64488662373729666</v>
      </c>
    </row>
    <row r="30" spans="1:1" x14ac:dyDescent="0.35">
      <c r="A30" s="13">
        <v>0.23795281838435012</v>
      </c>
    </row>
  </sheetData>
  <mergeCells count="1">
    <mergeCell ref="G8:H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C956-39A2-4794-8578-C9919727871D}">
  <dimension ref="A1:F10"/>
  <sheetViews>
    <sheetView zoomScale="57" zoomScaleNormal="57" workbookViewId="0">
      <selection activeCell="P35" sqref="P35"/>
    </sheetView>
  </sheetViews>
  <sheetFormatPr baseColWidth="10" defaultRowHeight="14.5" x14ac:dyDescent="0.35"/>
  <sheetData>
    <row r="1" spans="1:6" x14ac:dyDescent="0.35">
      <c r="A1" s="15" t="s">
        <v>5</v>
      </c>
      <c r="B1" s="15" t="s">
        <v>8</v>
      </c>
      <c r="C1" s="15" t="s">
        <v>9</v>
      </c>
      <c r="D1" s="15" t="s">
        <v>11</v>
      </c>
      <c r="E1" s="15" t="s">
        <v>10</v>
      </c>
      <c r="F1" s="15" t="s">
        <v>28</v>
      </c>
    </row>
    <row r="2" spans="1:6" x14ac:dyDescent="0.35">
      <c r="A2" s="15">
        <v>1</v>
      </c>
      <c r="B2" s="15">
        <v>3</v>
      </c>
      <c r="C2" s="10">
        <f>B2/B10</f>
        <v>0.12</v>
      </c>
      <c r="D2" s="15">
        <f>+B2</f>
        <v>3</v>
      </c>
      <c r="E2" s="10">
        <f>+C2</f>
        <v>0.12</v>
      </c>
      <c r="F2" s="15">
        <f>+B2*A2</f>
        <v>3</v>
      </c>
    </row>
    <row r="3" spans="1:6" x14ac:dyDescent="0.35">
      <c r="A3" s="15">
        <v>2</v>
      </c>
      <c r="B3" s="15">
        <v>2</v>
      </c>
      <c r="C3" s="10">
        <f>B3/B10</f>
        <v>0.08</v>
      </c>
      <c r="D3" s="15">
        <f t="shared" ref="D3:E9" si="0">+D2+B3</f>
        <v>5</v>
      </c>
      <c r="E3" s="10">
        <f t="shared" si="0"/>
        <v>0.2</v>
      </c>
      <c r="F3" s="15">
        <f t="shared" ref="F3:F9" si="1">+A3*B3</f>
        <v>4</v>
      </c>
    </row>
    <row r="4" spans="1:6" x14ac:dyDescent="0.35">
      <c r="A4" s="15">
        <v>3</v>
      </c>
      <c r="B4" s="15">
        <v>5</v>
      </c>
      <c r="C4" s="10">
        <f>B4/B10</f>
        <v>0.2</v>
      </c>
      <c r="D4" s="15">
        <f t="shared" si="0"/>
        <v>10</v>
      </c>
      <c r="E4" s="10">
        <f t="shared" si="0"/>
        <v>0.4</v>
      </c>
      <c r="F4" s="15">
        <f t="shared" si="1"/>
        <v>15</v>
      </c>
    </row>
    <row r="5" spans="1:6" x14ac:dyDescent="0.35">
      <c r="A5" s="15">
        <v>4</v>
      </c>
      <c r="B5" s="15">
        <v>3</v>
      </c>
      <c r="C5" s="10">
        <f>B5/B10</f>
        <v>0.12</v>
      </c>
      <c r="D5" s="15">
        <f t="shared" si="0"/>
        <v>13</v>
      </c>
      <c r="E5" s="10">
        <f t="shared" si="0"/>
        <v>0.52</v>
      </c>
      <c r="F5" s="15">
        <f t="shared" si="1"/>
        <v>12</v>
      </c>
    </row>
    <row r="6" spans="1:6" x14ac:dyDescent="0.35">
      <c r="A6" s="15">
        <v>5</v>
      </c>
      <c r="B6" s="15">
        <v>5</v>
      </c>
      <c r="C6" s="10">
        <f>B6/B10</f>
        <v>0.2</v>
      </c>
      <c r="D6" s="15">
        <f t="shared" si="0"/>
        <v>18</v>
      </c>
      <c r="E6" s="10">
        <f t="shared" si="0"/>
        <v>0.72</v>
      </c>
      <c r="F6" s="15">
        <f t="shared" si="1"/>
        <v>25</v>
      </c>
    </row>
    <row r="7" spans="1:6" x14ac:dyDescent="0.35">
      <c r="A7" s="15">
        <v>6</v>
      </c>
      <c r="B7" s="15">
        <v>4</v>
      </c>
      <c r="C7" s="10">
        <f>B7/B10</f>
        <v>0.16</v>
      </c>
      <c r="D7" s="15">
        <f t="shared" si="0"/>
        <v>22</v>
      </c>
      <c r="E7" s="10">
        <f t="shared" si="0"/>
        <v>0.88</v>
      </c>
      <c r="F7" s="15">
        <f t="shared" si="1"/>
        <v>24</v>
      </c>
    </row>
    <row r="8" spans="1:6" x14ac:dyDescent="0.35">
      <c r="A8" s="15">
        <v>7</v>
      </c>
      <c r="B8" s="15">
        <v>0</v>
      </c>
      <c r="C8" s="10">
        <v>0</v>
      </c>
      <c r="D8" s="15">
        <f t="shared" si="0"/>
        <v>22</v>
      </c>
      <c r="E8" s="10">
        <f t="shared" si="0"/>
        <v>0.88</v>
      </c>
      <c r="F8" s="15">
        <f t="shared" si="1"/>
        <v>0</v>
      </c>
    </row>
    <row r="9" spans="1:6" x14ac:dyDescent="0.35">
      <c r="A9" s="15">
        <v>8</v>
      </c>
      <c r="B9" s="15">
        <v>3</v>
      </c>
      <c r="C9" s="10">
        <f>B9/B10</f>
        <v>0.12</v>
      </c>
      <c r="D9" s="15">
        <f t="shared" si="0"/>
        <v>25</v>
      </c>
      <c r="E9" s="10">
        <f t="shared" si="0"/>
        <v>1</v>
      </c>
      <c r="F9" s="15">
        <f t="shared" si="1"/>
        <v>24</v>
      </c>
    </row>
    <row r="10" spans="1:6" x14ac:dyDescent="0.35">
      <c r="A10" s="15" t="s">
        <v>6</v>
      </c>
      <c r="B10" s="15">
        <f>SUM(B2:B9)</f>
        <v>25</v>
      </c>
      <c r="C10" s="10">
        <f>B10/B10</f>
        <v>1</v>
      </c>
      <c r="D10" s="15"/>
      <c r="E10" s="15"/>
      <c r="F10" s="15">
        <f>SUM(F2:F9)</f>
        <v>107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5B3E-BDB1-4C7A-ADDF-68859D1B362D}">
  <dimension ref="A1:Q21"/>
  <sheetViews>
    <sheetView tabSelected="1" topLeftCell="B1" zoomScale="85" zoomScaleNormal="64" workbookViewId="0">
      <selection activeCell="P11" sqref="P11"/>
    </sheetView>
  </sheetViews>
  <sheetFormatPr baseColWidth="10" defaultRowHeight="14.5" x14ac:dyDescent="0.35"/>
  <cols>
    <col min="2" max="2" width="13.1796875" customWidth="1"/>
  </cols>
  <sheetData>
    <row r="1" spans="1:17" x14ac:dyDescent="0.35">
      <c r="A1" s="20">
        <v>10</v>
      </c>
      <c r="C1" s="22"/>
      <c r="D1" s="22" t="s">
        <v>4</v>
      </c>
      <c r="E1" s="22" t="s">
        <v>5</v>
      </c>
      <c r="F1" s="16" t="s">
        <v>8</v>
      </c>
      <c r="G1" s="16" t="s">
        <v>9</v>
      </c>
      <c r="H1" s="16" t="s">
        <v>11</v>
      </c>
      <c r="I1" s="16" t="s">
        <v>10</v>
      </c>
      <c r="J1" s="16" t="s">
        <v>5</v>
      </c>
      <c r="K1" s="16" t="s">
        <v>13</v>
      </c>
      <c r="L1" s="16" t="s">
        <v>28</v>
      </c>
      <c r="N1" s="24" t="s">
        <v>40</v>
      </c>
    </row>
    <row r="2" spans="1:17" x14ac:dyDescent="0.35">
      <c r="A2" s="20" t="s">
        <v>29</v>
      </c>
      <c r="C2" s="23" t="s">
        <v>41</v>
      </c>
      <c r="D2" s="27">
        <v>9</v>
      </c>
      <c r="E2" s="15">
        <v>11.2</v>
      </c>
      <c r="F2" s="17">
        <v>4</v>
      </c>
      <c r="G2" s="16">
        <f>+F2/F7</f>
        <v>0.2</v>
      </c>
      <c r="H2" s="26">
        <f>+F2</f>
        <v>4</v>
      </c>
      <c r="I2" s="16">
        <f>+G2</f>
        <v>0.2</v>
      </c>
      <c r="J2" s="16">
        <f>(D2+E2)/2</f>
        <v>10.1</v>
      </c>
      <c r="K2" s="16">
        <f>+K3+F2</f>
        <v>20</v>
      </c>
      <c r="L2" s="16">
        <f>+F2*J2</f>
        <v>40.4</v>
      </c>
      <c r="M2" s="25"/>
      <c r="N2">
        <v>77.44</v>
      </c>
    </row>
    <row r="3" spans="1:17" x14ac:dyDescent="0.35">
      <c r="A3" s="20">
        <v>11</v>
      </c>
      <c r="C3" s="15" t="s">
        <v>42</v>
      </c>
      <c r="D3" s="15">
        <v>11.2</v>
      </c>
      <c r="E3" s="15">
        <v>13.4</v>
      </c>
      <c r="F3" s="21">
        <v>4</v>
      </c>
      <c r="G3" s="16">
        <f>+F3/F7</f>
        <v>0.2</v>
      </c>
      <c r="H3" s="16">
        <f t="shared" ref="H3:I6" si="0">+H2+F3</f>
        <v>8</v>
      </c>
      <c r="I3" s="16">
        <f t="shared" si="0"/>
        <v>0.4</v>
      </c>
      <c r="J3" s="16">
        <f>(D3+E3)/2</f>
        <v>12.3</v>
      </c>
      <c r="K3" s="16">
        <f>+K4+F3</f>
        <v>16</v>
      </c>
      <c r="L3" s="16">
        <f>+F3*J3</f>
        <v>49.2</v>
      </c>
      <c r="M3" t="s">
        <v>46</v>
      </c>
      <c r="N3">
        <v>19.36</v>
      </c>
    </row>
    <row r="4" spans="1:17" x14ac:dyDescent="0.35">
      <c r="A4" s="20" t="s">
        <v>30</v>
      </c>
      <c r="B4" t="s">
        <v>48</v>
      </c>
      <c r="C4" s="15" t="s">
        <v>43</v>
      </c>
      <c r="D4" s="15">
        <v>13.4</v>
      </c>
      <c r="E4" s="15">
        <v>15.6</v>
      </c>
      <c r="F4" s="17">
        <v>5</v>
      </c>
      <c r="G4" s="16">
        <f>+F4/F7</f>
        <v>0.25</v>
      </c>
      <c r="H4" s="16">
        <f t="shared" si="0"/>
        <v>13</v>
      </c>
      <c r="I4" s="16">
        <f t="shared" si="0"/>
        <v>0.65</v>
      </c>
      <c r="J4" s="16">
        <f>(D4+E4)/2</f>
        <v>14.5</v>
      </c>
      <c r="K4" s="16">
        <f>+K5+F4</f>
        <v>12</v>
      </c>
      <c r="L4" s="16">
        <f>+F4*J4</f>
        <v>72.5</v>
      </c>
      <c r="M4" t="s">
        <v>47</v>
      </c>
      <c r="N4">
        <v>0</v>
      </c>
    </row>
    <row r="5" spans="1:17" x14ac:dyDescent="0.35">
      <c r="A5" s="20" t="s">
        <v>31</v>
      </c>
      <c r="C5" s="15" t="s">
        <v>44</v>
      </c>
      <c r="D5" s="15">
        <v>15.6</v>
      </c>
      <c r="E5" s="15">
        <v>17.8</v>
      </c>
      <c r="F5" s="17">
        <v>2</v>
      </c>
      <c r="G5" s="16">
        <f>+F5/F7</f>
        <v>0.1</v>
      </c>
      <c r="H5" s="16">
        <f t="shared" si="0"/>
        <v>15</v>
      </c>
      <c r="I5" s="16">
        <f t="shared" si="0"/>
        <v>0.75</v>
      </c>
      <c r="J5" s="16">
        <f>(D5+E5)/2</f>
        <v>16.7</v>
      </c>
      <c r="K5" s="16">
        <f>+K6+F5</f>
        <v>7</v>
      </c>
      <c r="L5" s="16">
        <f>+F5*J5</f>
        <v>33.4</v>
      </c>
      <c r="N5">
        <v>9.68</v>
      </c>
    </row>
    <row r="6" spans="1:17" x14ac:dyDescent="0.35">
      <c r="A6" s="20" t="s">
        <v>32</v>
      </c>
      <c r="C6" s="15" t="s">
        <v>45</v>
      </c>
      <c r="D6" s="15">
        <v>17.8</v>
      </c>
      <c r="E6" s="15">
        <v>20</v>
      </c>
      <c r="F6" s="17">
        <v>5</v>
      </c>
      <c r="G6" s="16">
        <f>+F6/F7</f>
        <v>0.25</v>
      </c>
      <c r="H6" s="16">
        <f t="shared" si="0"/>
        <v>20</v>
      </c>
      <c r="I6" s="16">
        <f t="shared" si="0"/>
        <v>1</v>
      </c>
      <c r="J6" s="16">
        <f>(D6+E6)/2</f>
        <v>18.899999999999999</v>
      </c>
      <c r="K6" s="16">
        <f>+F6</f>
        <v>5</v>
      </c>
      <c r="L6" s="16">
        <f>+F6*J6</f>
        <v>94.5</v>
      </c>
      <c r="N6">
        <v>96.8</v>
      </c>
      <c r="P6" s="28" t="s">
        <v>49</v>
      </c>
      <c r="Q6" s="30" t="s">
        <v>50</v>
      </c>
    </row>
    <row r="7" spans="1:17" x14ac:dyDescent="0.35">
      <c r="A7" s="20" t="s">
        <v>33</v>
      </c>
      <c r="C7" s="15"/>
      <c r="D7" s="36" t="s">
        <v>6</v>
      </c>
      <c r="E7" s="36"/>
      <c r="F7" s="17">
        <f>SUM(F2:F6)</f>
        <v>20</v>
      </c>
      <c r="G7" s="16">
        <f>SUM(G2:G6)</f>
        <v>1</v>
      </c>
      <c r="H7" s="16"/>
      <c r="I7" s="16"/>
      <c r="J7" s="16"/>
      <c r="K7" s="16"/>
      <c r="L7" s="16">
        <f>SUM(L2:L6)</f>
        <v>290</v>
      </c>
      <c r="N7">
        <f>SUM(N2:N6)</f>
        <v>203.27999999999997</v>
      </c>
      <c r="O7" s="24">
        <f>+N7/20</f>
        <v>10.163999999999998</v>
      </c>
      <c r="P7" s="29">
        <f>SQRT(O7)</f>
        <v>3.1881028841616761</v>
      </c>
      <c r="Q7" s="31">
        <f>+P7/14.5</f>
        <v>0.21986916442494317</v>
      </c>
    </row>
    <row r="8" spans="1:17" x14ac:dyDescent="0.35">
      <c r="A8" s="20" t="s">
        <v>34</v>
      </c>
      <c r="Q8" s="32">
        <f>+Q7*100</f>
        <v>21.986916442494316</v>
      </c>
    </row>
    <row r="9" spans="1:17" x14ac:dyDescent="0.35">
      <c r="A9" s="20">
        <v>14</v>
      </c>
      <c r="B9" s="19"/>
      <c r="E9" s="18"/>
    </row>
    <row r="10" spans="1:17" x14ac:dyDescent="0.35">
      <c r="A10" s="20" t="s">
        <v>35</v>
      </c>
      <c r="B10">
        <v>19</v>
      </c>
      <c r="C10">
        <v>19</v>
      </c>
      <c r="E10" s="18"/>
    </row>
    <row r="11" spans="1:17" x14ac:dyDescent="0.35">
      <c r="A11" s="20">
        <v>15</v>
      </c>
      <c r="B11">
        <v>0</v>
      </c>
      <c r="C11">
        <v>0</v>
      </c>
    </row>
    <row r="12" spans="1:17" x14ac:dyDescent="0.35">
      <c r="A12" s="20" t="s">
        <v>36</v>
      </c>
      <c r="B12">
        <v>0</v>
      </c>
      <c r="C12">
        <v>0</v>
      </c>
    </row>
    <row r="13" spans="1:17" x14ac:dyDescent="0.35">
      <c r="A13" s="20">
        <v>16</v>
      </c>
      <c r="B13">
        <v>0</v>
      </c>
      <c r="C13">
        <v>0</v>
      </c>
    </row>
    <row r="14" spans="1:17" x14ac:dyDescent="0.35">
      <c r="A14" s="20" t="s">
        <v>37</v>
      </c>
      <c r="B14">
        <v>1</v>
      </c>
      <c r="C14">
        <v>1</v>
      </c>
    </row>
    <row r="15" spans="1:17" x14ac:dyDescent="0.35">
      <c r="A15" s="20">
        <v>18</v>
      </c>
    </row>
    <row r="16" spans="1:17" x14ac:dyDescent="0.35">
      <c r="A16" s="20" t="s">
        <v>38</v>
      </c>
    </row>
    <row r="17" spans="1:1" x14ac:dyDescent="0.35">
      <c r="A17" s="20" t="s">
        <v>39</v>
      </c>
    </row>
    <row r="18" spans="1:1" x14ac:dyDescent="0.35">
      <c r="A18" s="20">
        <v>20</v>
      </c>
    </row>
    <row r="19" spans="1:1" x14ac:dyDescent="0.35">
      <c r="A19" s="20">
        <v>20</v>
      </c>
    </row>
    <row r="20" spans="1:1" x14ac:dyDescent="0.35">
      <c r="A20" s="20">
        <v>90</v>
      </c>
    </row>
    <row r="21" spans="1:1" x14ac:dyDescent="0.35">
      <c r="A21" s="20"/>
    </row>
  </sheetData>
  <mergeCells count="1">
    <mergeCell ref="D7:E7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Taller1.1</vt:lpstr>
      <vt:lpstr> Taller1.2</vt:lpstr>
      <vt:lpstr>Hoja3</vt:lpstr>
      <vt:lpstr>Taller2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Sánchez</dc:creator>
  <cp:lastModifiedBy>Estefania Sánchez</cp:lastModifiedBy>
  <dcterms:created xsi:type="dcterms:W3CDTF">2026-08-10T13:10:37Z</dcterms:created>
  <dcterms:modified xsi:type="dcterms:W3CDTF">2026-09-22T23:31:55Z</dcterms:modified>
</cp:coreProperties>
</file>